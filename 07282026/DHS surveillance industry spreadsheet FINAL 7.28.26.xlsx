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ruppert/Downloads/"/>
    </mc:Choice>
  </mc:AlternateContent>
  <xr:revisionPtr revIDLastSave="0" documentId="13_ncr:1_{FFDFE16B-75D1-864E-8A10-A01ED0CD1075}" xr6:coauthVersionLast="47" xr6:coauthVersionMax="47" xr10:uidLastSave="{00000000-0000-0000-0000-000000000000}"/>
  <bookViews>
    <workbookView xWindow="0" yWindow="760" windowWidth="26600" windowHeight="15960" xr2:uid="{7EBFD0F2-1E58-A24B-8B02-D15E4FC4A0A8}"/>
  </bookViews>
  <sheets>
    <sheet name="DHS Interior CLEAN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7" i="7" l="1"/>
  <c r="T97" i="7"/>
  <c r="T95" i="7"/>
  <c r="W157" i="7"/>
  <c r="S261" i="7"/>
  <c r="S156" i="7"/>
  <c r="W281" i="7"/>
  <c r="V281" i="7"/>
  <c r="U281" i="7"/>
  <c r="W381" i="7"/>
  <c r="U381" i="7"/>
  <c r="T381" i="7"/>
  <c r="S381" i="7"/>
  <c r="S118" i="7"/>
  <c r="W118" i="7" s="1"/>
  <c r="S115" i="7"/>
  <c r="W115" i="7" s="1"/>
  <c r="S365" i="7"/>
  <c r="W365" i="7" s="1"/>
  <c r="S364" i="7"/>
  <c r="W364" i="7" s="1"/>
  <c r="S363" i="7"/>
  <c r="W363" i="7" s="1"/>
  <c r="S362" i="7"/>
  <c r="W362" i="7" s="1"/>
  <c r="S361" i="7"/>
  <c r="W361" i="7" s="1"/>
  <c r="S358" i="7"/>
  <c r="W358" i="7" s="1"/>
  <c r="S357" i="7"/>
  <c r="W357" i="7" s="1"/>
  <c r="S356" i="7"/>
  <c r="W356" i="7" s="1"/>
  <c r="S355" i="7"/>
  <c r="W355" i="7" s="1"/>
  <c r="S353" i="7"/>
  <c r="W353" i="7" s="1"/>
  <c r="S351" i="7"/>
  <c r="W351" i="7" s="1"/>
  <c r="S350" i="7"/>
  <c r="W350" i="7" s="1"/>
  <c r="S280" i="7"/>
  <c r="W280" i="7" s="1"/>
  <c r="S177" i="7"/>
  <c r="W177" i="7" s="1"/>
  <c r="S193" i="7"/>
  <c r="W193" i="7" s="1"/>
  <c r="S192" i="7"/>
  <c r="W192" i="7" s="1"/>
  <c r="S191" i="7"/>
  <c r="W191" i="7" s="1"/>
  <c r="S190" i="7"/>
  <c r="W190" i="7" s="1"/>
  <c r="S189" i="7"/>
  <c r="W189" i="7" s="1"/>
  <c r="S188" i="7"/>
  <c r="W188" i="7" s="1"/>
  <c r="S187" i="7"/>
  <c r="W187" i="7" s="1"/>
  <c r="S180" i="7"/>
  <c r="W180" i="7" s="1"/>
  <c r="S183" i="7"/>
  <c r="W183" i="7" s="1"/>
  <c r="S182" i="7"/>
  <c r="S179" i="7"/>
  <c r="W179" i="7" s="1"/>
  <c r="S181" i="7"/>
  <c r="S184" i="7"/>
  <c r="S195" i="7"/>
  <c r="W195" i="7" s="1"/>
  <c r="S178" i="7"/>
  <c r="S397" i="7"/>
  <c r="W397" i="7" s="1"/>
  <c r="S392" i="7"/>
  <c r="W392" i="7" s="1"/>
  <c r="S394" i="7"/>
  <c r="W394" i="7" s="1"/>
  <c r="S391" i="7"/>
  <c r="W391" i="7" s="1"/>
  <c r="S393" i="7"/>
  <c r="W393" i="7" s="1"/>
  <c r="S331" i="7"/>
  <c r="W331" i="7" s="1"/>
  <c r="S330" i="7"/>
  <c r="S326" i="7"/>
  <c r="W326" i="7" s="1"/>
  <c r="S324" i="7"/>
  <c r="S325" i="7"/>
  <c r="W325" i="7" s="1"/>
  <c r="S323" i="7"/>
  <c r="W323" i="7" s="1"/>
  <c r="S322" i="7"/>
  <c r="W322" i="7" s="1"/>
  <c r="S321" i="7"/>
  <c r="W321" i="7" s="1"/>
  <c r="S319" i="7"/>
  <c r="S320" i="7"/>
  <c r="W320" i="7" s="1"/>
  <c r="S318" i="7"/>
  <c r="W318" i="7" s="1"/>
  <c r="S317" i="7"/>
  <c r="W317" i="7" s="1"/>
  <c r="S316" i="7"/>
  <c r="S311" i="7"/>
  <c r="W311" i="7" s="1"/>
  <c r="S314" i="7"/>
  <c r="W314" i="7" s="1"/>
  <c r="S312" i="7"/>
  <c r="W312" i="7" s="1"/>
  <c r="S313" i="7"/>
  <c r="W313" i="7" s="1"/>
  <c r="S301" i="7"/>
  <c r="S300" i="7"/>
  <c r="S299" i="7"/>
  <c r="W298" i="7"/>
  <c r="S297" i="7"/>
  <c r="W297" i="7" s="1"/>
  <c r="S294" i="7"/>
  <c r="S293" i="7"/>
  <c r="W293" i="7" s="1"/>
  <c r="S292" i="7"/>
  <c r="S295" i="7"/>
  <c r="S289" i="7"/>
  <c r="S291" i="7"/>
  <c r="W291" i="7" s="1"/>
  <c r="S290" i="7"/>
  <c r="S169" i="7"/>
  <c r="W169" i="7" s="1"/>
  <c r="S170" i="7"/>
  <c r="W170" i="7" s="1"/>
  <c r="S286" i="7"/>
  <c r="W286" i="7" s="1"/>
  <c r="W283" i="7"/>
  <c r="S285" i="7"/>
  <c r="W285" i="7" s="1"/>
  <c r="S284" i="7"/>
  <c r="W284" i="7" s="1"/>
  <c r="S54" i="7"/>
  <c r="S18" i="7"/>
  <c r="W18" i="7" s="1"/>
  <c r="S6" i="7"/>
  <c r="S4" i="7"/>
  <c r="W4" i="7" s="1"/>
  <c r="S5" i="7"/>
  <c r="W5" i="7" s="1"/>
  <c r="S2" i="7"/>
  <c r="W2" i="7" s="1"/>
  <c r="S279" i="7"/>
  <c r="W279" i="7" s="1"/>
  <c r="S269" i="7"/>
  <c r="W269" i="7" s="1"/>
  <c r="S274" i="7"/>
  <c r="W274" i="7" s="1"/>
  <c r="S275" i="7"/>
  <c r="W275" i="7" s="1"/>
  <c r="S276" i="7"/>
  <c r="W276" i="7" s="1"/>
  <c r="S273" i="7"/>
  <c r="W273" i="7" s="1"/>
  <c r="S272" i="7"/>
  <c r="W272" i="7" s="1"/>
  <c r="S271" i="7"/>
  <c r="W271" i="7" s="1"/>
  <c r="S270" i="7"/>
  <c r="W270" i="7" s="1"/>
  <c r="S268" i="7"/>
  <c r="S267" i="7"/>
  <c r="S266" i="7"/>
  <c r="W266" i="7" s="1"/>
  <c r="S265" i="7"/>
  <c r="W265" i="7" s="1"/>
  <c r="V261" i="7"/>
  <c r="T261" i="7"/>
  <c r="S263" i="7"/>
  <c r="W263" i="7" s="1"/>
  <c r="S262" i="7"/>
  <c r="W262" i="7" s="1"/>
  <c r="S260" i="7"/>
  <c r="W260" i="7" s="1"/>
  <c r="S259" i="7"/>
  <c r="W259" i="7" s="1"/>
  <c r="S253" i="7"/>
  <c r="W253" i="7" s="1"/>
  <c r="S252" i="7"/>
  <c r="W252" i="7" s="1"/>
  <c r="S257" i="7"/>
  <c r="W257" i="7" s="1"/>
  <c r="S256" i="7"/>
  <c r="W256" i="7" s="1"/>
  <c r="S255" i="7"/>
  <c r="S251" i="7"/>
  <c r="S250" i="7"/>
  <c r="W250" i="7" s="1"/>
  <c r="S249" i="7"/>
  <c r="W249" i="7" s="1"/>
  <c r="S248" i="7"/>
  <c r="W248" i="7" s="1"/>
  <c r="S236" i="7"/>
  <c r="W236" i="7" s="1"/>
  <c r="S241" i="7"/>
  <c r="W241" i="7" s="1"/>
  <c r="S247" i="7"/>
  <c r="W247" i="7" s="1"/>
  <c r="S240" i="7"/>
  <c r="W240" i="7" s="1"/>
  <c r="S239" i="7"/>
  <c r="W239" i="7" s="1"/>
  <c r="S246" i="7"/>
  <c r="W246" i="7" s="1"/>
  <c r="S245" i="7"/>
  <c r="W245" i="7" s="1"/>
  <c r="S244" i="7"/>
  <c r="W244" i="7" s="1"/>
  <c r="S242" i="7"/>
  <c r="W242" i="7" s="1"/>
  <c r="S243" i="7"/>
  <c r="W243" i="7" s="1"/>
  <c r="S238" i="7"/>
  <c r="W238" i="7" s="1"/>
  <c r="S237" i="7"/>
  <c r="W237" i="7" s="1"/>
  <c r="S235" i="7"/>
  <c r="W235" i="7" s="1"/>
  <c r="S233" i="7"/>
  <c r="W233" i="7" s="1"/>
  <c r="S234" i="7"/>
  <c r="W234" i="7" s="1"/>
  <c r="S232" i="7"/>
  <c r="W232" i="7" s="1"/>
  <c r="S231" i="7"/>
  <c r="W231" i="7" s="1"/>
  <c r="S229" i="7"/>
  <c r="S230" i="7"/>
  <c r="S228" i="7"/>
  <c r="S227" i="7"/>
  <c r="S226" i="7"/>
  <c r="W226" i="7" s="1"/>
  <c r="S223" i="7"/>
  <c r="W223" i="7" s="1"/>
  <c r="S222" i="7"/>
  <c r="W222" i="7" s="1"/>
  <c r="S221" i="7"/>
  <c r="W221" i="7" s="1"/>
  <c r="S200" i="7"/>
  <c r="S224" i="7"/>
  <c r="S220" i="7"/>
  <c r="W220" i="7" s="1"/>
  <c r="S199" i="7"/>
  <c r="W199" i="7" s="1"/>
  <c r="S219" i="7"/>
  <c r="W219" i="7" s="1"/>
  <c r="S218" i="7"/>
  <c r="W218" i="7" s="1"/>
  <c r="S202" i="7"/>
  <c r="W202" i="7" s="1"/>
  <c r="S212" i="7"/>
  <c r="W212" i="7" s="1"/>
  <c r="S198" i="7"/>
  <c r="S216" i="7"/>
  <c r="W216" i="7" s="1"/>
  <c r="S215" i="7"/>
  <c r="W215" i="7" s="1"/>
  <c r="S213" i="7"/>
  <c r="W213" i="7" s="1"/>
  <c r="S214" i="7"/>
  <c r="W214" i="7" s="1"/>
  <c r="S217" i="7"/>
  <c r="W217" i="7" s="1"/>
  <c r="S211" i="7"/>
  <c r="W211" i="7" s="1"/>
  <c r="S210" i="7"/>
  <c r="S209" i="7"/>
  <c r="W209" i="7" s="1"/>
  <c r="S208" i="7"/>
  <c r="W208" i="7" s="1"/>
  <c r="S197" i="7"/>
  <c r="W197" i="7" s="1"/>
  <c r="S207" i="7"/>
  <c r="W207" i="7" s="1"/>
  <c r="S206" i="7"/>
  <c r="W206" i="7" s="1"/>
  <c r="S196" i="7"/>
  <c r="W196" i="7" s="1"/>
  <c r="S204" i="7"/>
  <c r="W204" i="7" s="1"/>
  <c r="S205" i="7"/>
  <c r="W205" i="7" s="1"/>
  <c r="S203" i="7"/>
  <c r="W203" i="7" s="1"/>
  <c r="V194" i="7"/>
  <c r="T194" i="7"/>
  <c r="S194" i="7"/>
  <c r="S379" i="7"/>
  <c r="W379" i="7" s="1"/>
  <c r="S390" i="7"/>
  <c r="S389" i="7"/>
  <c r="W389" i="7" s="1"/>
  <c r="S370" i="7"/>
  <c r="W370" i="7" s="1"/>
  <c r="S369" i="7"/>
  <c r="S368" i="7"/>
  <c r="W368" i="7" s="1"/>
  <c r="S378" i="7"/>
  <c r="W378" i="7" s="1"/>
  <c r="S377" i="7"/>
  <c r="S376" i="7"/>
  <c r="W376" i="7" s="1"/>
  <c r="S375" i="7"/>
  <c r="S374" i="7"/>
  <c r="S349" i="7"/>
  <c r="W349" i="7" s="1"/>
  <c r="S348" i="7"/>
  <c r="S347" i="7"/>
  <c r="S346" i="7"/>
  <c r="W346" i="7" s="1"/>
  <c r="S344" i="7"/>
  <c r="S345" i="7"/>
  <c r="W345" i="7" s="1"/>
  <c r="S342" i="7"/>
  <c r="W342" i="7" s="1"/>
  <c r="W329" i="7"/>
  <c r="S328" i="7"/>
  <c r="W328" i="7" s="1"/>
  <c r="S327" i="7"/>
  <c r="W327" i="7" s="1"/>
  <c r="S338" i="7"/>
  <c r="W338" i="7" s="1"/>
  <c r="S337" i="7"/>
  <c r="S336" i="7"/>
  <c r="W336" i="7" s="1"/>
  <c r="S335" i="7"/>
  <c r="W335" i="7" s="1"/>
  <c r="S127" i="7"/>
  <c r="W127" i="7" s="1"/>
  <c r="S150" i="7"/>
  <c r="W150" i="7" s="1"/>
  <c r="S155" i="7"/>
  <c r="W155" i="7" s="1"/>
  <c r="S154" i="7"/>
  <c r="W154" i="7" s="1"/>
  <c r="S152" i="7"/>
  <c r="S153" i="7"/>
  <c r="W153" i="7" s="1"/>
  <c r="S151" i="7"/>
  <c r="W151" i="7" s="1"/>
  <c r="S149" i="7"/>
  <c r="W149" i="7" s="1"/>
  <c r="S148" i="7"/>
  <c r="W148" i="7" s="1"/>
  <c r="S145" i="7"/>
  <c r="W145" i="7" s="1"/>
  <c r="S147" i="7"/>
  <c r="W147" i="7" s="1"/>
  <c r="S146" i="7"/>
  <c r="W146" i="7" s="1"/>
  <c r="S144" i="7"/>
  <c r="S143" i="7"/>
  <c r="W143" i="7" s="1"/>
  <c r="S142" i="7"/>
  <c r="W142" i="7" s="1"/>
  <c r="S139" i="7"/>
  <c r="W139" i="7" s="1"/>
  <c r="S138" i="7"/>
  <c r="W138" i="7" s="1"/>
  <c r="S137" i="7"/>
  <c r="W137" i="7" s="1"/>
  <c r="S168" i="7"/>
  <c r="S166" i="7"/>
  <c r="W165" i="7"/>
  <c r="S164" i="7"/>
  <c r="S161" i="7"/>
  <c r="S160" i="7"/>
  <c r="S131" i="7"/>
  <c r="W131" i="7" s="1"/>
  <c r="S130" i="7"/>
  <c r="W130" i="7" s="1"/>
  <c r="S129" i="7"/>
  <c r="W129" i="7" s="1"/>
  <c r="S126" i="7"/>
  <c r="W126" i="7" s="1"/>
  <c r="S125" i="7"/>
  <c r="S124" i="7"/>
  <c r="W124" i="7" s="1"/>
  <c r="S123" i="7"/>
  <c r="W123" i="7" s="1"/>
  <c r="S122" i="7"/>
  <c r="W122" i="7" s="1"/>
  <c r="S121" i="7"/>
  <c r="W121" i="7" s="1"/>
  <c r="S120" i="7"/>
  <c r="S119" i="7"/>
  <c r="S136" i="7"/>
  <c r="W136" i="7" s="1"/>
  <c r="S135" i="7"/>
  <c r="W135" i="7" s="1"/>
  <c r="S134" i="7"/>
  <c r="S174" i="7"/>
  <c r="S175" i="7"/>
  <c r="W175" i="7" s="1"/>
</calcChain>
</file>

<file path=xl/sharedStrings.xml><?xml version="1.0" encoding="utf-8"?>
<sst xmlns="http://schemas.openxmlformats.org/spreadsheetml/2006/main" count="3662" uniqueCount="1106">
  <si>
    <t>Category</t>
  </si>
  <si>
    <t>Surveillance Type</t>
  </si>
  <si>
    <t>Contractor Name</t>
  </si>
  <si>
    <t>Tech Developer/Provider</t>
  </si>
  <si>
    <t>DHS Component - Awarding</t>
  </si>
  <si>
    <t>DHS Component - Funding</t>
  </si>
  <si>
    <t>Child Award Component</t>
  </si>
  <si>
    <t>Contract ID</t>
  </si>
  <si>
    <t>Contract Description</t>
  </si>
  <si>
    <t>Contract Type</t>
  </si>
  <si>
    <t>Amount Obligated</t>
  </si>
  <si>
    <t>Ceiling</t>
  </si>
  <si>
    <t>Effective Date</t>
  </si>
  <si>
    <t>Closeout Date (if passed)</t>
  </si>
  <si>
    <t>O Since 1/20/21</t>
  </si>
  <si>
    <t>O Since 1/20/25</t>
  </si>
  <si>
    <t>O since 1/1/25</t>
  </si>
  <si>
    <t>2026 Obligations</t>
  </si>
  <si>
    <t>2025 Obligations</t>
  </si>
  <si>
    <t>2024 Obligations</t>
  </si>
  <si>
    <t>2023 Obligations</t>
  </si>
  <si>
    <t>2022 Obligations</t>
  </si>
  <si>
    <t>2021 Obligations (after Jan. 19)</t>
  </si>
  <si>
    <t>Last Updated</t>
  </si>
  <si>
    <t>Video Surveillance</t>
  </si>
  <si>
    <t>Drones</t>
  </si>
  <si>
    <t>General Atomics Aeronautical Systems, Inc.</t>
  </si>
  <si>
    <t>General Atomics</t>
  </si>
  <si>
    <t>CBP</t>
  </si>
  <si>
    <t>70B02C18C00000040</t>
  </si>
  <si>
    <t>UAS operational and maintenance services</t>
  </si>
  <si>
    <t>Definitive Contract</t>
  </si>
  <si>
    <t>Biometrics</t>
  </si>
  <si>
    <t>IDENT &amp; HART</t>
  </si>
  <si>
    <t>General Dynamics Information Technology, Inc.</t>
  </si>
  <si>
    <t>General Dynamics</t>
  </si>
  <si>
    <t>Office of Procurement Operations</t>
  </si>
  <si>
    <t>OBIM</t>
  </si>
  <si>
    <t>70RCSA20FR0000078</t>
  </si>
  <si>
    <t>Office of biometric identity managment support</t>
  </si>
  <si>
    <t>Delivery Order</t>
  </si>
  <si>
    <t>Data Analytics</t>
  </si>
  <si>
    <t>FALCON</t>
  </si>
  <si>
    <t>Palantir</t>
  </si>
  <si>
    <t>ICE</t>
  </si>
  <si>
    <t>70CTD019C00000001</t>
  </si>
  <si>
    <t>Falcon operations and maintenance, optional enhancements</t>
  </si>
  <si>
    <t>Immigration benefit applicants</t>
  </si>
  <si>
    <t>Amentum</t>
  </si>
  <si>
    <t>USCIS</t>
  </si>
  <si>
    <t>70SBUR23C00000009</t>
  </si>
  <si>
    <t>Collection of applicant biometric + biographical data</t>
  </si>
  <si>
    <t>Peraton Technology Services, Inc.</t>
  </si>
  <si>
    <t>Peraton</t>
  </si>
  <si>
    <t>70RDAD23FR0000077</t>
  </si>
  <si>
    <t>OBIM datacenters</t>
  </si>
  <si>
    <t>Pluribus Digital, Inc</t>
  </si>
  <si>
    <t>Pluribus Digital</t>
  </si>
  <si>
    <t>70BUR20F00000043</t>
  </si>
  <si>
    <t>Personnel to provide development, security, and operations services in support of biometrics portfolio</t>
  </si>
  <si>
    <t>Other data analysis</t>
  </si>
  <si>
    <t>MetroIBR JV Llc</t>
  </si>
  <si>
    <t>MetroIBR</t>
  </si>
  <si>
    <t>70BUR23F00000008</t>
  </si>
  <si>
    <t>Engineering support for identity services for USCIS</t>
  </si>
  <si>
    <t>RAVEN</t>
  </si>
  <si>
    <t>Booz Allen Hamilton</t>
  </si>
  <si>
    <t>70CTD018FR0000193</t>
  </si>
  <si>
    <t>New Contract Award For Repository For Analytics In a Virtualized Environment (RAVEN) Analytical Platform &amp; Tool Support</t>
  </si>
  <si>
    <t>Body-worn and vehicle-mounted cameras</t>
  </si>
  <si>
    <t>Axon Enterprise Inc</t>
  </si>
  <si>
    <t>Axon</t>
  </si>
  <si>
    <t>70B02C26F00000450</t>
  </si>
  <si>
    <t>Software licenses for BWC</t>
  </si>
  <si>
    <t>Access to Phone Content</t>
  </si>
  <si>
    <t>Digital Forensics</t>
  </si>
  <si>
    <t>Cellebrite Inc</t>
  </si>
  <si>
    <t>Cellebrite</t>
  </si>
  <si>
    <t>USSS</t>
  </si>
  <si>
    <t>70US0922C70092253</t>
  </si>
  <si>
    <t>Cellebrite preimum enterprise package</t>
  </si>
  <si>
    <t>RAVEn</t>
  </si>
  <si>
    <t>Acuity Inc</t>
  </si>
  <si>
    <t>Acuity</t>
  </si>
  <si>
    <t>70CTD022FR0000009</t>
  </si>
  <si>
    <t>User interface and experience services for RAVEn</t>
  </si>
  <si>
    <t>Location Identification or Tracking</t>
  </si>
  <si>
    <t>Cell phone location information</t>
  </si>
  <si>
    <t>Relx (Lexis Nexis)</t>
  </si>
  <si>
    <t>70US0921P70090088</t>
  </si>
  <si>
    <t>Subscription to Trax and Viper, which provides pen register services</t>
  </si>
  <si>
    <t>Purchase Order</t>
  </si>
  <si>
    <t>Alethix, Inc.</t>
  </si>
  <si>
    <t>Alethix</t>
  </si>
  <si>
    <t>70CTD021FR0000235</t>
  </si>
  <si>
    <t>Development, security, and operations services for RAVEn</t>
  </si>
  <si>
    <t>Facial recognition</t>
  </si>
  <si>
    <t>NEC Corporation of America</t>
  </si>
  <si>
    <t>NEC Corporation</t>
  </si>
  <si>
    <t>70RCSA20C00000006</t>
  </si>
  <si>
    <t>Maintenance for DHS perpetual license for NEC AIM-XM and AIM-ES products for unlimited facial quantities, on unlimited hardware platforms, and at unlimited locations</t>
  </si>
  <si>
    <t>LPR and LPR data</t>
  </si>
  <si>
    <t>West Publishing Corporation</t>
  </si>
  <si>
    <t>Thomson Reuters</t>
  </si>
  <si>
    <t>70CDCR18P00000017</t>
  </si>
  <si>
    <t>LPR database access</t>
  </si>
  <si>
    <t>Science Applications International Corporation</t>
  </si>
  <si>
    <t>S&amp;T</t>
  </si>
  <si>
    <t>70RSAT23CB0000003</t>
  </si>
  <si>
    <t>Development and engineering of biometric and identity accuracy, scalability and equitability (DEBIASE) project</t>
  </si>
  <si>
    <t>Iris scans</t>
  </si>
  <si>
    <t>Bi2 Technologies, LLC</t>
  </si>
  <si>
    <t>Bi2 Technologies</t>
  </si>
  <si>
    <t>70CTD025C00000001</t>
  </si>
  <si>
    <t>Iris recognition technology for identity authentication during field operations</t>
  </si>
  <si>
    <t>Wiretaps</t>
  </si>
  <si>
    <t>JSI Telecom</t>
  </si>
  <si>
    <t>70CTD019C00000004</t>
  </si>
  <si>
    <t>Title III digitial collection systems</t>
  </si>
  <si>
    <t>Babel Street</t>
  </si>
  <si>
    <t>70CMSD19A00000007</t>
  </si>
  <si>
    <t>Data subscription services</t>
  </si>
  <si>
    <t>BPA</t>
  </si>
  <si>
    <t>Redhawkk IT Solutions, LLC</t>
  </si>
  <si>
    <t>Magnet Forensics</t>
  </si>
  <si>
    <t>70SBUR26F00000049</t>
  </si>
  <si>
    <t>Magnet axiom software</t>
  </si>
  <si>
    <t>Modtern Technology Solutions, Inc</t>
  </si>
  <si>
    <t>MTSI</t>
  </si>
  <si>
    <t>70B02C22F00000338</t>
  </si>
  <si>
    <t>UAS support services</t>
  </si>
  <si>
    <t>Four Points</t>
  </si>
  <si>
    <t>Amazon</t>
  </si>
  <si>
    <t>Chief Information Officer</t>
  </si>
  <si>
    <t>70RTAC24FR0000002</t>
  </si>
  <si>
    <t>Task Order for Biometric Identity Management - AWS</t>
  </si>
  <si>
    <t>Project SAFEHAVEN</t>
  </si>
  <si>
    <t>Edge Ops LLC</t>
  </si>
  <si>
    <t>Edge Ops</t>
  </si>
  <si>
    <t>70CMSD26C00000003</t>
  </si>
  <si>
    <t>Provide Project SAFE HAVEN for HSI, an integrated analytic capability to identify, track, and map movement of criminal and terrorist organizations</t>
  </si>
  <si>
    <t>Data Purchases</t>
  </si>
  <si>
    <t>Skip Tracing</t>
  </si>
  <si>
    <t>Capgemini Government Solutions</t>
  </si>
  <si>
    <t>Capgemini</t>
  </si>
  <si>
    <t>70CDCR24FR0000006</t>
  </si>
  <si>
    <t xml:space="preserve">Skip tracing services added to statement of work </t>
  </si>
  <si>
    <t>Atlantic Diving Supply, Inc</t>
  </si>
  <si>
    <t>Skydio</t>
  </si>
  <si>
    <t>70B03C24F00000758</t>
  </si>
  <si>
    <t>Skydio X2D drones</t>
  </si>
  <si>
    <t>BPA Call</t>
  </si>
  <si>
    <t>Guidehouse Inc</t>
  </si>
  <si>
    <t>Guidehouse</t>
  </si>
  <si>
    <t>70B01C22F00000777</t>
  </si>
  <si>
    <t>IDVRS PMO support and IDVRS logistics support</t>
  </si>
  <si>
    <t>Cobwebs America, Inc.</t>
  </si>
  <si>
    <t>Penlink</t>
  </si>
  <si>
    <t>Chief Procurement Officer</t>
  </si>
  <si>
    <t>70RDAD20C00000016</t>
  </si>
  <si>
    <t>I &amp; A Software interface tool</t>
  </si>
  <si>
    <t>Deloitte Consulting LLP</t>
  </si>
  <si>
    <t>Deloitte</t>
  </si>
  <si>
    <t>70CDCR21FR0000022</t>
  </si>
  <si>
    <t>Internet research and data analytics</t>
  </si>
  <si>
    <t>Social media monitoring and open-source intelligence</t>
  </si>
  <si>
    <t>Panamerica Computers, Inc</t>
  </si>
  <si>
    <t>Fivecast</t>
  </si>
  <si>
    <t>70B03C22F00001110</t>
  </si>
  <si>
    <t>Fivecast Onyx licenses</t>
  </si>
  <si>
    <t>Global Recovery Group, LLC</t>
  </si>
  <si>
    <t>Global Recovery Group</t>
  </si>
  <si>
    <t>70CDCR26FR0000003</t>
  </si>
  <si>
    <t>SKip tracing services</t>
  </si>
  <si>
    <t xml:space="preserve">Delivery Order </t>
  </si>
  <si>
    <t>Clearview AI, Inc</t>
  </si>
  <si>
    <t>Clearview AI</t>
  </si>
  <si>
    <t>70CMSD21P00000127</t>
  </si>
  <si>
    <t>Clearview facial recognition enterprise licenses</t>
  </si>
  <si>
    <t>Barbaricum</t>
  </si>
  <si>
    <t>70CMSW20C00000001</t>
  </si>
  <si>
    <t>Threat monitoring and mitigation services</t>
  </si>
  <si>
    <t>DNA Tests</t>
  </si>
  <si>
    <t>SNA International</t>
  </si>
  <si>
    <t>HSHQDC17CB0033</t>
  </si>
  <si>
    <t>Pilot software implementation for rapid DNS</t>
  </si>
  <si>
    <t>MSAB</t>
  </si>
  <si>
    <t>70B06C21F00000538</t>
  </si>
  <si>
    <t>Digital forensics licenses</t>
  </si>
  <si>
    <t>Skopenow</t>
  </si>
  <si>
    <t>70US0923C70093611</t>
  </si>
  <si>
    <t>Software licenses</t>
  </si>
  <si>
    <t>LeadTrac</t>
  </si>
  <si>
    <t>Strategic Operations Solutions Inc</t>
  </si>
  <si>
    <t>Strategic Operations Solutions</t>
  </si>
  <si>
    <t>70CTD021FR0000052</t>
  </si>
  <si>
    <t>Continued operations an dmaintenance support services for the LeadTrac application for HSI</t>
  </si>
  <si>
    <t>L3Harris Technologies, Inc.</t>
  </si>
  <si>
    <t>L3Harris</t>
  </si>
  <si>
    <t>70US0922C70092348</t>
  </si>
  <si>
    <t>MWI equipment purchase</t>
  </si>
  <si>
    <t>Techops Specialty Vehicles, Llc</t>
  </si>
  <si>
    <t>Techops Specialty Vehicles</t>
  </si>
  <si>
    <t>70CMSD24FR0000115</t>
  </si>
  <si>
    <t>Vehicles for cell-site simulators</t>
  </si>
  <si>
    <t>Griffeye</t>
  </si>
  <si>
    <t>70CMSD19P00000137</t>
  </si>
  <si>
    <t>Forensic software add-on</t>
  </si>
  <si>
    <t>Zignal Labs, Inc.</t>
  </si>
  <si>
    <t>Zignal Labs</t>
  </si>
  <si>
    <t>70US0921C70090090</t>
  </si>
  <si>
    <t>Zignal Software Profiles</t>
  </si>
  <si>
    <t>ShadowDragon</t>
  </si>
  <si>
    <t>70CMSD21FR0000107</t>
  </si>
  <si>
    <t>ShadowDragon socialnet shoftware</t>
  </si>
  <si>
    <t>Teal Drones Inc</t>
  </si>
  <si>
    <t>Teal Drones</t>
  </si>
  <si>
    <t>70B02C22A00000002</t>
  </si>
  <si>
    <t>Blue SUAS multiple awared BPA (one subagreement is for HSI)</t>
  </si>
  <si>
    <t>Idemia Identity &amp; Security USA Llc</t>
  </si>
  <si>
    <t>Idemia</t>
  </si>
  <si>
    <t>HSSCCG15D00021</t>
  </si>
  <si>
    <t>Livescan</t>
  </si>
  <si>
    <t>Indefinite Delivery / Requirements Contract</t>
  </si>
  <si>
    <t>Bluehawk LLC</t>
  </si>
  <si>
    <t>Bluehawk</t>
  </si>
  <si>
    <t>70CDCR26D00000013</t>
  </si>
  <si>
    <t>Skip tracing services nationwide</t>
  </si>
  <si>
    <t>IDIQ</t>
  </si>
  <si>
    <t>GetData</t>
  </si>
  <si>
    <t>70US0921C70090032</t>
  </si>
  <si>
    <t>Forensic explorer by Get Data renewal</t>
  </si>
  <si>
    <t>Guidepoint Security Government Solutions LLC</t>
  </si>
  <si>
    <t>Authentic8</t>
  </si>
  <si>
    <t>70US0925C70093992</t>
  </si>
  <si>
    <t>License Authentic8 software for the secret service</t>
  </si>
  <si>
    <t>Software Information Resource Corp.</t>
  </si>
  <si>
    <t>OSINT Combine</t>
  </si>
  <si>
    <t>70B03C25F00000068</t>
  </si>
  <si>
    <t>NexusXplore open source intelligence license</t>
  </si>
  <si>
    <t>Deliver Order</t>
  </si>
  <si>
    <t>AT&amp;T Enterprises, LLC</t>
  </si>
  <si>
    <t>AT&amp;T</t>
  </si>
  <si>
    <t>70CMSD25C00000005</t>
  </si>
  <si>
    <t>Data analytics services to support HSI</t>
  </si>
  <si>
    <t>Computer World Services</t>
  </si>
  <si>
    <t>70RDA125FR0000001</t>
  </si>
  <si>
    <t>Systems engineering and test support for OBIM systems</t>
  </si>
  <si>
    <t>Remote Hacking</t>
  </si>
  <si>
    <t>Paragon Solutions (US), Inc</t>
  </si>
  <si>
    <t>Paragon</t>
  </si>
  <si>
    <t>70CTD024P00000012</t>
  </si>
  <si>
    <t>Graphite remote phone hacking software</t>
  </si>
  <si>
    <t>Footnote</t>
  </si>
  <si>
    <t>Nlets</t>
  </si>
  <si>
    <t>National Law Enforcement Telecommunication System, Inc</t>
  </si>
  <si>
    <t>70SBUR23C00000014</t>
  </si>
  <si>
    <t>Nlets database</t>
  </si>
  <si>
    <t>Commerical Data</t>
  </si>
  <si>
    <t>Whooster</t>
  </si>
  <si>
    <t>70US0920C70090051</t>
  </si>
  <si>
    <t>Whooster database access and maintenance</t>
  </si>
  <si>
    <t>BI Incorporated</t>
  </si>
  <si>
    <t>GEO Group</t>
  </si>
  <si>
    <t>70CDCR26D00000005</t>
  </si>
  <si>
    <t>Provides ICE with Skip Tracing Services nationwide</t>
  </si>
  <si>
    <t>Omniplex World Services Corporation</t>
  </si>
  <si>
    <t>Constellis</t>
  </si>
  <si>
    <t>70CDCR26D00000016</t>
  </si>
  <si>
    <t>MVM, Inc.</t>
  </si>
  <si>
    <t>MVM</t>
  </si>
  <si>
    <t>70CDCR26FR0000052</t>
  </si>
  <si>
    <t>Funding for the unaccompanied alien children safety verification initiative</t>
  </si>
  <si>
    <t>Magnet Forensics and Cyber Triage/Sleuth Kit Labs</t>
  </si>
  <si>
    <t>70US0924F3OTH2986</t>
  </si>
  <si>
    <t>Axiom and Cyber Triage forensics software</t>
  </si>
  <si>
    <t>Alvarez LLC</t>
  </si>
  <si>
    <t>Hyland</t>
  </si>
  <si>
    <t>70SBUR26F00000071</t>
  </si>
  <si>
    <t>Alfresco software; an integrated content management platform that USCIS uses to manage its web portal, records, and images</t>
  </si>
  <si>
    <t>Delvery Order</t>
  </si>
  <si>
    <t>Integrated biometrics</t>
  </si>
  <si>
    <t>Incadence Strategic Solutions Llc</t>
  </si>
  <si>
    <t>Parsons</t>
  </si>
  <si>
    <t>70CMSD22P00000066</t>
  </si>
  <si>
    <t>Mobile biometric collection equipment and software</t>
  </si>
  <si>
    <t>Other vehicle tracking</t>
  </si>
  <si>
    <t>Berla</t>
  </si>
  <si>
    <t>70B06C22D00000012</t>
  </si>
  <si>
    <t>Berla iVe toolkits, licenses, and trainingfor extracting and understanding information from car devices</t>
  </si>
  <si>
    <t>Fingerprints</t>
  </si>
  <si>
    <t>Aware</t>
  </si>
  <si>
    <t>70B04C20P00000025</t>
  </si>
  <si>
    <t>Aware licenses and maintenance</t>
  </si>
  <si>
    <t>National Protective Services, LLC</t>
  </si>
  <si>
    <t>National Protective Services</t>
  </si>
  <si>
    <t>70CDCR26D00000021</t>
  </si>
  <si>
    <t>Passware, Inc.</t>
  </si>
  <si>
    <t>Passware</t>
  </si>
  <si>
    <t>70US0926C70094384</t>
  </si>
  <si>
    <t>Passware software and licenses</t>
  </si>
  <si>
    <t>Constellation Inc</t>
  </si>
  <si>
    <t>Costellation</t>
  </si>
  <si>
    <t>70CDCR26D00000020</t>
  </si>
  <si>
    <t>Mobile security cameras</t>
  </si>
  <si>
    <t>Liveview Technologies, Inc.</t>
  </si>
  <si>
    <t>Liveview</t>
  </si>
  <si>
    <t>70CMSW26FR0000017</t>
  </si>
  <si>
    <t>Mobile security camera trailer units for HSI</t>
  </si>
  <si>
    <t>GSS - Government Support Services LLC</t>
  </si>
  <si>
    <t>Government Support Services</t>
  </si>
  <si>
    <t>70CDCR26D00000019</t>
  </si>
  <si>
    <t>GeoSpark Analytics</t>
  </si>
  <si>
    <t>Seerist</t>
  </si>
  <si>
    <t>70B06C22F00000538</t>
  </si>
  <si>
    <t>Task Order for Licenses</t>
  </si>
  <si>
    <t>Oxygen Forensics</t>
  </si>
  <si>
    <t>70CMSD21P00000067</t>
  </si>
  <si>
    <t>Oxygen Forensics detective licenses</t>
  </si>
  <si>
    <t>70B02C21F00000405</t>
  </si>
  <si>
    <t>Geosparks License</t>
  </si>
  <si>
    <t>AI Solutions 87 LLC</t>
  </si>
  <si>
    <t>AI Solutions 87</t>
  </si>
  <si>
    <t>70CDCR26D00000006</t>
  </si>
  <si>
    <t>Skip tracing services nationwide (potentially using AI agents)</t>
  </si>
  <si>
    <t>Commercial Data</t>
  </si>
  <si>
    <t>Team Cymru</t>
  </si>
  <si>
    <t>70CMSD21FR0000195</t>
  </si>
  <si>
    <t>Team CYMRU software</t>
  </si>
  <si>
    <t>Immersive Concepts Llc</t>
  </si>
  <si>
    <t>Immersive Concepts</t>
  </si>
  <si>
    <t>CPB</t>
  </si>
  <si>
    <t>70B04C21F00001012</t>
  </si>
  <si>
    <t>IDVRS cabling</t>
  </si>
  <si>
    <t>Exterro</t>
  </si>
  <si>
    <t>70CTD022FR0000089</t>
  </si>
  <si>
    <t xml:space="preserve">Exterro FTK Enterprise licenses </t>
  </si>
  <si>
    <t>Gravitas Professional Services, LLC</t>
  </si>
  <si>
    <t>Gravitas Professional Services</t>
  </si>
  <si>
    <t>70CDCR26D00000018</t>
  </si>
  <si>
    <t>Vetted Security Solutions LLC</t>
  </si>
  <si>
    <t>Vetted Security Solutions</t>
  </si>
  <si>
    <t>70CMSD23P00000125</t>
  </si>
  <si>
    <t>License plate readers for SAC Miami</t>
  </si>
  <si>
    <t>Fraud Inc</t>
  </si>
  <si>
    <t>70CDCR26D00000017</t>
  </si>
  <si>
    <t>Babel Street Rosette LTD.</t>
  </si>
  <si>
    <t>Cyber Triage/Sleuth Kit Labs</t>
  </si>
  <si>
    <t>70US0921C70090029</t>
  </si>
  <si>
    <t>200 Cyber Triage Licenses with support</t>
  </si>
  <si>
    <t>Babel Street Rosette LTD</t>
  </si>
  <si>
    <t>Cyber Triage</t>
  </si>
  <si>
    <t>70US0922C70092645</t>
  </si>
  <si>
    <t>Auterion</t>
  </si>
  <si>
    <t>70B02C22P00000542</t>
  </si>
  <si>
    <t>Small Unmanned Hybrid-lift Support Services</t>
  </si>
  <si>
    <t>Environmental Systems Research Institute</t>
  </si>
  <si>
    <t>ESRI</t>
  </si>
  <si>
    <t>70CTD022FR0000104</t>
  </si>
  <si>
    <t>ArcGIS World Geocode licenses for RAVEn</t>
  </si>
  <si>
    <t>Equifax Inc</t>
  </si>
  <si>
    <t>Equifax</t>
  </si>
  <si>
    <t>70CMSD23P00000133</t>
  </si>
  <si>
    <t>Equifax support services</t>
  </si>
  <si>
    <t>Widepoint Integrated Solutions</t>
  </si>
  <si>
    <t>70B03C24F00000304</t>
  </si>
  <si>
    <t>Wireless Management services for CBP License Plate Reader Program</t>
  </si>
  <si>
    <t>Starchase</t>
  </si>
  <si>
    <t>70B06C22P00000321</t>
  </si>
  <si>
    <t>Vehicle to vehicle GPS tracking</t>
  </si>
  <si>
    <t>Motorola Solutions, Inc.</t>
  </si>
  <si>
    <t>Motorola</t>
  </si>
  <si>
    <t>70CMSW25P00000062</t>
  </si>
  <si>
    <t>Four mobile LPR systems for ERO</t>
  </si>
  <si>
    <t>WS Darley &amp; Co</t>
  </si>
  <si>
    <t>Parrot</t>
  </si>
  <si>
    <t>70CMSD23FC0000006</t>
  </si>
  <si>
    <t>Parrot Anafi USA mil drone</t>
  </si>
  <si>
    <t>Digital forensics</t>
  </si>
  <si>
    <t>SUMURI Llc</t>
  </si>
  <si>
    <t>SUMURI</t>
  </si>
  <si>
    <t>70CMSD26P00000037</t>
  </si>
  <si>
    <t>Software to mount and analyze hard drives, recreate machines, and use scripting for efficient forensic investigations</t>
  </si>
  <si>
    <t>Giant Oak, Inc.</t>
  </si>
  <si>
    <t>Giant Oak</t>
  </si>
  <si>
    <t>HSCEMD17D00001</t>
  </si>
  <si>
    <t>Open source / social media analytics</t>
  </si>
  <si>
    <t>Intellisense Systems, Inc</t>
  </si>
  <si>
    <t>Intellisense Systems</t>
  </si>
  <si>
    <t>70RSAT25C00000021</t>
  </si>
  <si>
    <t>Mobile phone compatible biometric collection device</t>
  </si>
  <si>
    <t>Idea Mind LLC</t>
  </si>
  <si>
    <t>Idea Mind</t>
  </si>
  <si>
    <t>70RSAT25C00000022</t>
  </si>
  <si>
    <t>IOS compatible biometric collection device</t>
  </si>
  <si>
    <t>Integrated Biometrics</t>
  </si>
  <si>
    <t>70RSAT25C00000020</t>
  </si>
  <si>
    <t>Callyo 2009 Corp</t>
  </si>
  <si>
    <t>70B03C24P00000179</t>
  </si>
  <si>
    <t>Callyo licenses</t>
  </si>
  <si>
    <t>Open Text Inc</t>
  </si>
  <si>
    <t>Open Text</t>
  </si>
  <si>
    <t>70US0926P70092779</t>
  </si>
  <si>
    <t>forensic equipment</t>
  </si>
  <si>
    <t>FinalMobile</t>
  </si>
  <si>
    <t>70CMSD25FR0000087</t>
  </si>
  <si>
    <t>FinalMobile forsnsics software for HSI</t>
  </si>
  <si>
    <t>Response AI Solutions, LLC</t>
  </si>
  <si>
    <t>Response AI Solutions</t>
  </si>
  <si>
    <t>70CDCR26D00000008</t>
  </si>
  <si>
    <t>Transunion Risk and Alternative Data Solutions, Inc.</t>
  </si>
  <si>
    <t>Transunion</t>
  </si>
  <si>
    <t>70US0926P70092719</t>
  </si>
  <si>
    <t>Access to a database</t>
  </si>
  <si>
    <t>Robinson Helicopter Company</t>
  </si>
  <si>
    <t>70B02C24A00000031</t>
  </si>
  <si>
    <t>SPIRIT BLUE SUAS 2.0 BPA</t>
  </si>
  <si>
    <t>RPT Consulting</t>
  </si>
  <si>
    <t>EagleNXT</t>
  </si>
  <si>
    <t>70B01C24F00001106</t>
  </si>
  <si>
    <t>1 Ebee Tac Mapping Drone</t>
  </si>
  <si>
    <t>Enprovera Corp</t>
  </si>
  <si>
    <t>Enprovera</t>
  </si>
  <si>
    <t>70CDCR26D00000003</t>
  </si>
  <si>
    <t>Fingerprint</t>
  </si>
  <si>
    <t>Mosa Technology Solutions, LLC</t>
  </si>
  <si>
    <t>Mosa Technology Solutions</t>
  </si>
  <si>
    <t>70CMSD2600000013</t>
  </si>
  <si>
    <t>Mobile fingerprint devices for HSI</t>
  </si>
  <si>
    <t>LeadsOnline, Llc</t>
  </si>
  <si>
    <t>Hawk Analytics</t>
  </si>
  <si>
    <t>70CMSD25P00000064</t>
  </si>
  <si>
    <t>Award for Cell Hawk software licenses</t>
  </si>
  <si>
    <t>70CMSD22FC0000055</t>
  </si>
  <si>
    <t>Parrot anafi USA mil drone</t>
  </si>
  <si>
    <t>70B02C22F00001259</t>
  </si>
  <si>
    <t>Drone equipment and accessories - SUAS Parrot Anafi-USA</t>
  </si>
  <si>
    <t>70B02C22F00001257</t>
  </si>
  <si>
    <t>70CMSD22FC0000045</t>
  </si>
  <si>
    <t>Parrot Anafi USA Mil drone for HSI Houston</t>
  </si>
  <si>
    <t>70CMSD22FC0000044</t>
  </si>
  <si>
    <t>Parrot Anafi USA Mil drone purchase</t>
  </si>
  <si>
    <t>70CMSD22FC0000043</t>
  </si>
  <si>
    <t>Parrot Anafi USA mil drone for HSA St. Paul</t>
  </si>
  <si>
    <t>70B03C22F00000566</t>
  </si>
  <si>
    <t>1 Parrot drone</t>
  </si>
  <si>
    <t>70CMSD22FC0000011</t>
  </si>
  <si>
    <t>SUAS parrot anafi USA mil</t>
  </si>
  <si>
    <t>Unknown</t>
  </si>
  <si>
    <t>70B03C23F00000642</t>
  </si>
  <si>
    <t>70B02C22F00000944</t>
  </si>
  <si>
    <t>Small unmanned aircraft system blue certified</t>
  </si>
  <si>
    <t>70CMSD22FC0000053</t>
  </si>
  <si>
    <t>Small unmanned aircraft system</t>
  </si>
  <si>
    <t>70B03C22F00001271</t>
  </si>
  <si>
    <t>UAS</t>
  </si>
  <si>
    <t>70CMSD22FC0000047</t>
  </si>
  <si>
    <t>Supply of small unmanned aircraft system</t>
  </si>
  <si>
    <t>70CMSD22FC0000035</t>
  </si>
  <si>
    <t>Supply of unmanned aircraft system</t>
  </si>
  <si>
    <t>70CMSD22FC0000020</t>
  </si>
  <si>
    <t>Supply of drones</t>
  </si>
  <si>
    <t>70CMSD23C00000003</t>
  </si>
  <si>
    <t>70US0924C70093754</t>
  </si>
  <si>
    <t>Site License for Whooster</t>
  </si>
  <si>
    <t>70RTAC23FR0000035</t>
  </si>
  <si>
    <t xml:space="preserve">Thomson Reuters's CLEAR </t>
  </si>
  <si>
    <t>70CMSD23P00000129</t>
  </si>
  <si>
    <t>License plate readers for SAC Detroit</t>
  </si>
  <si>
    <t>70CMSD24P00000127</t>
  </si>
  <si>
    <t>License plate recognition camera systems and software in Philadelphia, PA for the commercial trauck initiative</t>
  </si>
  <si>
    <t>70B03C25P00000261</t>
  </si>
  <si>
    <t>License recognition system</t>
  </si>
  <si>
    <t>V3Gate</t>
  </si>
  <si>
    <t>70CMSD20FR0000130</t>
  </si>
  <si>
    <t>Informational technology software: finalmobile</t>
  </si>
  <si>
    <t>Thundercat Technology, LLC</t>
  </si>
  <si>
    <t>70CMSD25FR0000110</t>
  </si>
  <si>
    <t>ShadowDragon licenses for HSI</t>
  </si>
  <si>
    <t>70B03C21F00001342</t>
  </si>
  <si>
    <t>License plate reader</t>
  </si>
  <si>
    <t>Marinus Analytics</t>
  </si>
  <si>
    <t>70B03C21F00001143</t>
  </si>
  <si>
    <t>Traffic Jam tool</t>
  </si>
  <si>
    <t>70B03C22F00001226</t>
  </si>
  <si>
    <t>Traffic Jam license</t>
  </si>
  <si>
    <t>70CMSD21FR0000102</t>
  </si>
  <si>
    <t>Traffic Jam licenses</t>
  </si>
  <si>
    <t>70B03C25F00001115</t>
  </si>
  <si>
    <t>70CMSD25FR0000060</t>
  </si>
  <si>
    <t>Traffic Jam licenses for HSI</t>
  </si>
  <si>
    <t>70SBUR25P00000019</t>
  </si>
  <si>
    <t>30 Traffic Jam software subscriptions to support IRNSDD</t>
  </si>
  <si>
    <t>Commercial data</t>
  </si>
  <si>
    <t>70CMSD26FR0000045</t>
  </si>
  <si>
    <t>Provides ITIN data subscription service and analytics for HSI agents in fraud investigations</t>
  </si>
  <si>
    <t>70B06C25F00000048</t>
  </si>
  <si>
    <t>Fivecast Onyx licenses and training</t>
  </si>
  <si>
    <t>70B03C23F00000916</t>
  </si>
  <si>
    <t>NexusXplore open source intelligence license for National targeting center</t>
  </si>
  <si>
    <t>Delivery order</t>
  </si>
  <si>
    <t>70CMSD23FR0000182</t>
  </si>
  <si>
    <t>ShadowDragon socialnet with Horizon license</t>
  </si>
  <si>
    <t>70CMSD24FR0000182</t>
  </si>
  <si>
    <t>ShadowDragon socialnet licenses</t>
  </si>
  <si>
    <t>70CMSD19C00000001</t>
  </si>
  <si>
    <t>data access and analyst services</t>
  </si>
  <si>
    <t>70CDCR18P00000048</t>
  </si>
  <si>
    <t>subscription for data services</t>
  </si>
  <si>
    <t>70B03C19P00000624</t>
  </si>
  <si>
    <t>Data analysis</t>
  </si>
  <si>
    <t>70B03C22P00000077</t>
  </si>
  <si>
    <t>Intelligence analysis</t>
  </si>
  <si>
    <t>70CMSD21C00000002</t>
  </si>
  <si>
    <t>Law Enforcement Investigative Database Subscription (LEIDS)</t>
  </si>
  <si>
    <t>70US0925F2GSA2254</t>
  </si>
  <si>
    <t>NYC MWI mobile forensics laboratory vehicles</t>
  </si>
  <si>
    <t>70CTD026FR0000014</t>
  </si>
  <si>
    <t>Operations and maintenance support services for HSI LeadTrac application</t>
  </si>
  <si>
    <t>SOS International LLC</t>
  </si>
  <si>
    <t>SOS International</t>
  </si>
  <si>
    <t>70CDCR26C00000001</t>
  </si>
  <si>
    <t>Skip tracing services</t>
  </si>
  <si>
    <t>70CDCR26D00000012</t>
  </si>
  <si>
    <t>70B03C26F00000066</t>
  </si>
  <si>
    <t>70CMSD24FR0000094</t>
  </si>
  <si>
    <t>Exterro FTK License Renewal</t>
  </si>
  <si>
    <t>70CMSD23FR0000141</t>
  </si>
  <si>
    <t>Exterro FTK renewal</t>
  </si>
  <si>
    <t>70CMSD21FR0000033</t>
  </si>
  <si>
    <t>GetData forensic licenses</t>
  </si>
  <si>
    <t>70CMSD21FR0000106</t>
  </si>
  <si>
    <t>GetData forensic explorer licenses</t>
  </si>
  <si>
    <t>70CMSD23FR0000060</t>
  </si>
  <si>
    <t>GetData forensic explorer license</t>
  </si>
  <si>
    <t>70CMSD24FR0000090</t>
  </si>
  <si>
    <t>70RSAT20C00000059</t>
  </si>
  <si>
    <t>Reach back capability for fielded rapid DNA systems</t>
  </si>
  <si>
    <t>70CMSD25D00000001</t>
  </si>
  <si>
    <t>Rapid DNA tests, equipment, services for ERO to verify viological relatives</t>
  </si>
  <si>
    <t>70US0921C70090065</t>
  </si>
  <si>
    <t>70CMSD24P00000081</t>
  </si>
  <si>
    <t>Skopenow enterprise licenses</t>
  </si>
  <si>
    <t>70CMSD25P00000110</t>
  </si>
  <si>
    <t>Skopenow online software renewal licenses</t>
  </si>
  <si>
    <t>70B02C24F00000794</t>
  </si>
  <si>
    <t>Parrot delivery order</t>
  </si>
  <si>
    <t>Relx Inc.</t>
  </si>
  <si>
    <t>70B04C23F00000093</t>
  </si>
  <si>
    <t>Access to Lexisnexis database for law enforcement and legal online information</t>
  </si>
  <si>
    <t>70B04C24F00000090</t>
  </si>
  <si>
    <t>70SBUR23F00000278</t>
  </si>
  <si>
    <t>Law enforcement subscription services</t>
  </si>
  <si>
    <t>FPS</t>
  </si>
  <si>
    <t>70RFP326FREH00002</t>
  </si>
  <si>
    <t>Lexis Nexis Accurint Law Enforcement Subscription Services (for FPS)</t>
  </si>
  <si>
    <t>70SBUR25F00000065</t>
  </si>
  <si>
    <t>Lexis Nexis enforcement research subscriptions</t>
  </si>
  <si>
    <t>70BUR23F00000126</t>
  </si>
  <si>
    <t>Biometrics information management services for customer profile management systems and national appointment scheduling service</t>
  </si>
  <si>
    <t>Peraton, Inc.</t>
  </si>
  <si>
    <t>CBP; OBIM</t>
  </si>
  <si>
    <t>HSHQDC14DE2035</t>
  </si>
  <si>
    <t>HART and TVS software services</t>
  </si>
  <si>
    <t>70RDAD23FR0000023</t>
  </si>
  <si>
    <t>Operation and maintenance support for OBIM</t>
  </si>
  <si>
    <t>Pen-Link, LTD</t>
  </si>
  <si>
    <t>70CMSD25P00000138</t>
  </si>
  <si>
    <t xml:space="preserve">Licenses for Webloc and Tangles location and SMM </t>
  </si>
  <si>
    <t>70US0925P70092394</t>
  </si>
  <si>
    <t>Passware kit - TCFTP</t>
  </si>
  <si>
    <t>70US0923P70092266</t>
  </si>
  <si>
    <t>Passware licenses</t>
  </si>
  <si>
    <t>70CMSD25P00000100</t>
  </si>
  <si>
    <t xml:space="preserve">Javelin biometric collection kits and software </t>
  </si>
  <si>
    <t>70CMSD25P00000098</t>
  </si>
  <si>
    <t>70CMSD25P00000015</t>
  </si>
  <si>
    <t>Mobile biometric devices</t>
  </si>
  <si>
    <t>70CMSD25P00000115</t>
  </si>
  <si>
    <t>70CMSD25P00000029</t>
  </si>
  <si>
    <t>70CMSD25P00000096</t>
  </si>
  <si>
    <t>70B03C21F00001121</t>
  </si>
  <si>
    <t>Babel Street software</t>
  </si>
  <si>
    <t>70B03C23F00001053</t>
  </si>
  <si>
    <t>Babel Street licenses for CBP/NTC operators and analysts</t>
  </si>
  <si>
    <t>70B06C26F00000458</t>
  </si>
  <si>
    <t>Magnet froensics magnet axiom software license for the office of professional responsibility</t>
  </si>
  <si>
    <t>70CMSD21FR0000069</t>
  </si>
  <si>
    <t>Authentic8 Silo Software License</t>
  </si>
  <si>
    <t>70B03C23F00001003</t>
  </si>
  <si>
    <t>Fivecast Onyx licenses for national targeting center</t>
  </si>
  <si>
    <t>70CMSD23DR0000145</t>
  </si>
  <si>
    <t>Fivecast Onyx subscription</t>
  </si>
  <si>
    <t>70CMSD22FR0000130</t>
  </si>
  <si>
    <t>ShadowDragon socialnet license</t>
  </si>
  <si>
    <t>70CMSD26FR0000033</t>
  </si>
  <si>
    <t>Magnet Axiom</t>
  </si>
  <si>
    <t>70CMSD24FR0000084</t>
  </si>
  <si>
    <t>Magnet forensics Graykey license</t>
  </si>
  <si>
    <t>70US0925F3OTH2402</t>
  </si>
  <si>
    <t>Magnet forensics digitial forensics sofware</t>
  </si>
  <si>
    <t>70CMSD25FR0000097</t>
  </si>
  <si>
    <t>Magnet forensics software licenses for HSI</t>
  </si>
  <si>
    <t>70B03C22F00001238</t>
  </si>
  <si>
    <t>Biometric Scanners and Cameras</t>
  </si>
  <si>
    <t>70B03C23F00000501</t>
  </si>
  <si>
    <t>Biometric equipment</t>
  </si>
  <si>
    <t>70B03C23F00001307</t>
  </si>
  <si>
    <t>70B03C24F00000708</t>
  </si>
  <si>
    <t>70Z0G324FOIPL0034</t>
  </si>
  <si>
    <t>Digitial forensic software</t>
  </si>
  <si>
    <t>70CMSD25FR0000075</t>
  </si>
  <si>
    <t>Software for HSI to conduct mobile forensic investigations</t>
  </si>
  <si>
    <t>70CTD021FR0000108</t>
  </si>
  <si>
    <t>Software for RAVEn</t>
  </si>
  <si>
    <t>70CTD022FR0000070</t>
  </si>
  <si>
    <t>Falcon operations and maintenance, system enhancement, support services HSI interim</t>
  </si>
  <si>
    <t>ICM</t>
  </si>
  <si>
    <t>70CTD019FR0000268</t>
  </si>
  <si>
    <t>New ICM licenses, hosting, helpdesk, and O&amp;M support</t>
  </si>
  <si>
    <t>70CTD026FC0000018</t>
  </si>
  <si>
    <t>System modernization for the investigative case managemetn and investigative analytics on the case managemnt and analytics platform</t>
  </si>
  <si>
    <t>70CTD026FC0000012</t>
  </si>
  <si>
    <t>ERO modernization and operational capability for the enforcement case management system on the case managemetn adn analytics platform</t>
  </si>
  <si>
    <t>ICM, ImmigrationOS, and ELITE</t>
  </si>
  <si>
    <t>70CTD022FR0000170</t>
  </si>
  <si>
    <t>Investigative case management operations and maintenance support services and custom enhancements</t>
  </si>
  <si>
    <t>70US0926F2GSA2328</t>
  </si>
  <si>
    <t>Data modeling</t>
  </si>
  <si>
    <t>70CMSD22P00000085</t>
  </si>
  <si>
    <t>70CMSD22P00000065</t>
  </si>
  <si>
    <t>Oxygen forensic detective</t>
  </si>
  <si>
    <t>70CMSD24P00000157</t>
  </si>
  <si>
    <t>Oxygen forensics</t>
  </si>
  <si>
    <t>New Tech Solutions, Inc.</t>
  </si>
  <si>
    <t>70B03C25F00001217</t>
  </si>
  <si>
    <t>Fivecast licenses</t>
  </si>
  <si>
    <t>70CMSD25FR0000085</t>
  </si>
  <si>
    <t>GetData forensic explorer licenses for HSI</t>
  </si>
  <si>
    <t>70US0925F1DHS2436</t>
  </si>
  <si>
    <t>NexusXplore licences</t>
  </si>
  <si>
    <t>NEC National Security Systems</t>
  </si>
  <si>
    <t>70RDAD23C00000012</t>
  </si>
  <si>
    <t>Maintenance for DHS license for facial recognition tech</t>
  </si>
  <si>
    <t>Facial Recognition</t>
  </si>
  <si>
    <t>70RDA124C00000002</t>
  </si>
  <si>
    <t>Enterprise facial license O&amp;M</t>
  </si>
  <si>
    <t>70US0921D70090003</t>
  </si>
  <si>
    <t>Maintenance support for 124 smart scan units</t>
  </si>
  <si>
    <t>70RFP325CEH000003</t>
  </si>
  <si>
    <t>Annual Subscription to Nlets</t>
  </si>
  <si>
    <t>70CTD020P00000014</t>
  </si>
  <si>
    <t xml:space="preserve">User access to secure Nlets network services and systems </t>
  </si>
  <si>
    <t>70CTD025P00000004</t>
  </si>
  <si>
    <t>User access for Nlets network to support ICE and Law Enforcement Support Center</t>
  </si>
  <si>
    <t>70Z0G325POIPL0001</t>
  </si>
  <si>
    <t>Acquire Nlets access for USCG C5ISC</t>
  </si>
  <si>
    <t>70B04C25P00000583</t>
  </si>
  <si>
    <t>Telecom platform/database</t>
  </si>
  <si>
    <t>70US0926P70092674</t>
  </si>
  <si>
    <t>Nlets subscription</t>
  </si>
  <si>
    <t>70B06C22D00000009</t>
  </si>
  <si>
    <t>Mobile phone forensic data extraction tools, licenses, and training</t>
  </si>
  <si>
    <t>70B06C21P00000491</t>
  </si>
  <si>
    <t>Digital forensics equipment, licenses, and training</t>
  </si>
  <si>
    <t>70B03C24P00000341</t>
  </si>
  <si>
    <t>JCFC Advanced digital forensics support-MSAB XRY-PRO and physical renewals</t>
  </si>
  <si>
    <t>Marinus Analytics LLC</t>
  </si>
  <si>
    <t>70B03CP00000380</t>
  </si>
  <si>
    <t>Traffic Jam subscription</t>
  </si>
  <si>
    <t>LexisNexis Special Services Inc</t>
  </si>
  <si>
    <t>70B04C23F00000043</t>
  </si>
  <si>
    <t>Access to Lexis Nexis Law Enforcement Investigative Database</t>
  </si>
  <si>
    <t>70US0926F2GSA2288</t>
  </si>
  <si>
    <t>Mission support analytical services</t>
  </si>
  <si>
    <t>70CMSD21C00000001</t>
  </si>
  <si>
    <t>Law enforcement investigative subscription (LEIDS)</t>
  </si>
  <si>
    <t>70US0921P70090054</t>
  </si>
  <si>
    <t>Equipment for mobile wireless investigations</t>
  </si>
  <si>
    <t>70CMSD25P00000018</t>
  </si>
  <si>
    <t xml:space="preserve">Purchase operations and maintenance for HSI digital collection system for court-ordered wiretaps </t>
  </si>
  <si>
    <t>70CMSD23P00000021</t>
  </si>
  <si>
    <t>Biometric software</t>
  </si>
  <si>
    <t>70CMSD23P00000055</t>
  </si>
  <si>
    <t>70CMSD23P00000112</t>
  </si>
  <si>
    <t>Impres Technology Solutions</t>
  </si>
  <si>
    <t>70CMSD25FR0000084</t>
  </si>
  <si>
    <t>Renews subscriptions &amp; maintenance for passware kit forensic licenses</t>
  </si>
  <si>
    <t>Hexordia LLC</t>
  </si>
  <si>
    <t>70US0924D70092068</t>
  </si>
  <si>
    <t>Magnet forensics software</t>
  </si>
  <si>
    <t>Guidehouse Inc.</t>
  </si>
  <si>
    <t>70B01C26F00000123</t>
  </si>
  <si>
    <t>Incident-driven video recording system</t>
  </si>
  <si>
    <t>70B01C21F00001058</t>
  </si>
  <si>
    <t>IDVRS support</t>
  </si>
  <si>
    <t>70B01C24F00000394</t>
  </si>
  <si>
    <t>Task order for IDVRS lifecycle program management and serevices</t>
  </si>
  <si>
    <t>70B01C23F00000730</t>
  </si>
  <si>
    <t>IDVRS life cycle logistics, program management sustainment, and acquisition support</t>
  </si>
  <si>
    <t>70B01C26F00000370</t>
  </si>
  <si>
    <t>Incident-driven video recording systems</t>
  </si>
  <si>
    <t>70B01C25F00000271</t>
  </si>
  <si>
    <t>IDVRS program support</t>
  </si>
  <si>
    <t>70B01C25F00000450</t>
  </si>
  <si>
    <t>70B01C26F00000239</t>
  </si>
  <si>
    <t>Incident-driven video recording systems services 3</t>
  </si>
  <si>
    <t>70B01C26F00000081</t>
  </si>
  <si>
    <t>IDVRS transition services</t>
  </si>
  <si>
    <t>70CMSD23P00000083</t>
  </si>
  <si>
    <t>Griffeye Lace Carver Add-on</t>
  </si>
  <si>
    <t>70CMSD21P00000122</t>
  </si>
  <si>
    <t>Software license renewal</t>
  </si>
  <si>
    <t>70US0922F1DHS2096</t>
  </si>
  <si>
    <t>Government Acquisitions Inc</t>
  </si>
  <si>
    <t>70CTD023FR0000075</t>
  </si>
  <si>
    <t>NeoScan multiple fingerprint reader</t>
  </si>
  <si>
    <t>70CTD025FR0000027</t>
  </si>
  <si>
    <t>NeoScan 45 fingerprint readers for ERO</t>
  </si>
  <si>
    <t>70CDCR26D00000014</t>
  </si>
  <si>
    <t>70US0924C70093807</t>
  </si>
  <si>
    <t>FEXCE software subscriptions and training</t>
  </si>
  <si>
    <t>70CMSD22P00000016</t>
  </si>
  <si>
    <t>GetData certification and licensing</t>
  </si>
  <si>
    <t>70US0922P70090023</t>
  </si>
  <si>
    <t>135 FEX software subscriptions</t>
  </si>
  <si>
    <t>70CMSD22P00000050</t>
  </si>
  <si>
    <t>GetData training and licensing</t>
  </si>
  <si>
    <t>70US0923P70092322</t>
  </si>
  <si>
    <t>FEX maintenance and support</t>
  </si>
  <si>
    <t>70CMSD23P00000050</t>
  </si>
  <si>
    <t>GetData training and license</t>
  </si>
  <si>
    <t>70CMSD25P00000009</t>
  </si>
  <si>
    <t>GetData FEX training &amp; license</t>
  </si>
  <si>
    <t>70CMSD26P00000026</t>
  </si>
  <si>
    <t>Software for efficient forensic investigations</t>
  </si>
  <si>
    <t>70RDA126FR0000001</t>
  </si>
  <si>
    <t>OBIM Mission Systems Lifecycle Support</t>
  </si>
  <si>
    <t>70RDA124FR0000005</t>
  </si>
  <si>
    <t>Operate and maintain OBIM infrastructure</t>
  </si>
  <si>
    <t>70CMSD18A00000003</t>
  </si>
  <si>
    <t>Visa Lifecycle Vetting Initiative support</t>
  </si>
  <si>
    <t>70CMSD24FR0000050</t>
  </si>
  <si>
    <t>HSBP1013C00006</t>
  </si>
  <si>
    <t>Operational and maintenance support services for UAS</t>
  </si>
  <si>
    <t>70B02C22C00000016</t>
  </si>
  <si>
    <t>UAS Operational andn Maintenance Support; Modification 32 refers to MQ-9B drones</t>
  </si>
  <si>
    <t>FS Partners, LLP</t>
  </si>
  <si>
    <t>70CMSD22FR0000156</t>
  </si>
  <si>
    <t>Exterro FTK Licenses</t>
  </si>
  <si>
    <t>70CMSD24FR0000091</t>
  </si>
  <si>
    <t>Team CYMRU software licenses</t>
  </si>
  <si>
    <t>70US0923F1DHS2585</t>
  </si>
  <si>
    <t>Fivecast Onyx license</t>
  </si>
  <si>
    <t>70CTD024FR0000060</t>
  </si>
  <si>
    <t>Nexus licenses</t>
  </si>
  <si>
    <t>70CMSD23FR0000109</t>
  </si>
  <si>
    <t>ShadowDragon licenses</t>
  </si>
  <si>
    <t>Flywheel Data LLC</t>
  </si>
  <si>
    <t>70CTD026FR0000025</t>
  </si>
  <si>
    <t>25 Babel Street Insights licenses, location and identity application programming interfaces for use in ICE case management and analytics systems</t>
  </si>
  <si>
    <t>FCN, Inc.</t>
  </si>
  <si>
    <t>70CMSD26P00000034</t>
  </si>
  <si>
    <t>Cellebrite products and services for HSI</t>
  </si>
  <si>
    <t>70CMSD20P00000187</t>
  </si>
  <si>
    <t>Enterprise Technology Solutions, Inc</t>
  </si>
  <si>
    <t>70CMSW25FR0000123</t>
  </si>
  <si>
    <t>Handheld biometric collection devices for armed agents</t>
  </si>
  <si>
    <t>DH Technologies</t>
  </si>
  <si>
    <t>70CMSD25FR0000118</t>
  </si>
  <si>
    <t xml:space="preserve">Renewal of Exterro Forensic Tookit (FTK) licenses that allows evidence </t>
  </si>
  <si>
    <t>70CMSD22P00000108</t>
  </si>
  <si>
    <t xml:space="preserve">Web-based subscription service </t>
  </si>
  <si>
    <t>70CMSD23P00000145</t>
  </si>
  <si>
    <t>Cobwebs licenses</t>
  </si>
  <si>
    <t>70CMSD24P00000119</t>
  </si>
  <si>
    <t>Forensic software</t>
  </si>
  <si>
    <t>70B03C25P00000322</t>
  </si>
  <si>
    <t>Federal investigator tool and cloud database local license in support of usbp yuma sector</t>
  </si>
  <si>
    <t>70B03C25P00000321</t>
  </si>
  <si>
    <t>Federal investigator tool and cloud database local licenses in support of the usbp spokane sector</t>
  </si>
  <si>
    <t>70CMSD25P00000111</t>
  </si>
  <si>
    <t>Facial recognition software</t>
  </si>
  <si>
    <t>Chenega Defense &amp; Aerospace Solutions, LLC</t>
  </si>
  <si>
    <t>70CMSD26C00000001</t>
  </si>
  <si>
    <t>Penlink PLX investigative software suite and support services for HSTF</t>
  </si>
  <si>
    <t>70US0922C70092212</t>
  </si>
  <si>
    <t>Renewal of suite of forensic software tools</t>
  </si>
  <si>
    <t>70US0923C70092939</t>
  </si>
  <si>
    <t>Premium licenses for perpetual license software</t>
  </si>
  <si>
    <t>70US0924C70093947</t>
  </si>
  <si>
    <t>UFED 4 PC</t>
  </si>
  <si>
    <t>70US0922C70092343</t>
  </si>
  <si>
    <t>Premium ES Site Licenses</t>
  </si>
  <si>
    <t>70CMSD19D00000002</t>
  </si>
  <si>
    <t>Cellebrite phone hacking equipment and licenses</t>
  </si>
  <si>
    <t>70B06C20P00000595</t>
  </si>
  <si>
    <t>Cellebrite UFED software licenses, hardware and services</t>
  </si>
  <si>
    <t>70US0921P70090106</t>
  </si>
  <si>
    <t>Cellebrite premium sites for NCFI</t>
  </si>
  <si>
    <t>70US0921P70090100</t>
  </si>
  <si>
    <t>Forensic software tools from Cellebrite</t>
  </si>
  <si>
    <t>70CMSD22P00000084</t>
  </si>
  <si>
    <t>70US0922P70092150</t>
  </si>
  <si>
    <t>Pathfinder teams subscription package</t>
  </si>
  <si>
    <t>70CMSD23P00000045</t>
  </si>
  <si>
    <t>Forensic extraction equipment</t>
  </si>
  <si>
    <t>70B06C23P00000378</t>
  </si>
  <si>
    <t>Cellebrite software renewals</t>
  </si>
  <si>
    <t>70B02C23P00000417</t>
  </si>
  <si>
    <t>15 UFED 4PC Ultimate Subscriptions and 2 premium stand alone</t>
  </si>
  <si>
    <t>70B06C23P00000470</t>
  </si>
  <si>
    <t>Cellebrite software renewal</t>
  </si>
  <si>
    <t>70US0924P70092655</t>
  </si>
  <si>
    <t>Premium standalone licenses</t>
  </si>
  <si>
    <t>70B03C24P00000281</t>
  </si>
  <si>
    <t>UFED license and equipment</t>
  </si>
  <si>
    <t>70B03C24P00000561</t>
  </si>
  <si>
    <t>license renewal</t>
  </si>
  <si>
    <t>70B02C24P00000433</t>
  </si>
  <si>
    <t>Subscriptions and hardware</t>
  </si>
  <si>
    <t>70B03C24P00000667</t>
  </si>
  <si>
    <t>70B02C24P00000541</t>
  </si>
  <si>
    <t>Four UFED 4PC ultimate software license renewals</t>
  </si>
  <si>
    <t>70B03C25P00000210</t>
  </si>
  <si>
    <t>Cellebrite license renewal</t>
  </si>
  <si>
    <t>70B03C25P00000378</t>
  </si>
  <si>
    <t>70B02C25P00000442</t>
  </si>
  <si>
    <t>16 Cellebrite Inseyets Ultimate and Unlimited Software Licenses and Equipment</t>
  </si>
  <si>
    <t>70CMSD25P00000141</t>
  </si>
  <si>
    <t>Cellebrite products and services for investigations and operations requiring advanced digital forensic capabilities</t>
  </si>
  <si>
    <t>70B03C26P00000037</t>
  </si>
  <si>
    <t>70US0924P70092609</t>
  </si>
  <si>
    <t>UFED 4PC</t>
  </si>
  <si>
    <t>70US0926F1DHS2558</t>
  </si>
  <si>
    <t>forensic software</t>
  </si>
  <si>
    <t>Carahsoft Technology Corp</t>
  </si>
  <si>
    <t>70CMSD25FR0000089</t>
  </si>
  <si>
    <t>Licenses for Zignal Labs social media monitoring</t>
  </si>
  <si>
    <t>70CDCR26D00000015</t>
  </si>
  <si>
    <t>C&amp;C International Computers &amp; Consultants</t>
  </si>
  <si>
    <t>70CTD023FR0000063</t>
  </si>
  <si>
    <t>Exterro FTK Enterprise License</t>
  </si>
  <si>
    <t>70CMSD24FR0000038</t>
  </si>
  <si>
    <t>Passware licenses and Winhex licenses</t>
  </si>
  <si>
    <t>70CTD022FR0000002</t>
  </si>
  <si>
    <t>Eo14042 DHS ICE Requires Design, Development and Data Analytics Support for the DHS ICE Homeland Security Investigations (HSI) Repository for Analytics in Virtualized Environment (RAVEN) Program.</t>
  </si>
  <si>
    <t>70RSAT24FR0000056</t>
  </si>
  <si>
    <t>Authentic8 Silo for research secure browser</t>
  </si>
  <si>
    <t>70CMSD23FR0000111</t>
  </si>
  <si>
    <t>Passware kit site subscription renewal</t>
  </si>
  <si>
    <t>70CMSD24FR0000078</t>
  </si>
  <si>
    <t>Passware Kit Forensic Site License</t>
  </si>
  <si>
    <t>70CTD026C00000006</t>
  </si>
  <si>
    <t>Iris biometric recognition technology and access to biometric information system for identity authentication during field operations</t>
  </si>
  <si>
    <t>70B06C22F00001359</t>
  </si>
  <si>
    <t>Persistent Open Source Intelligence Analysis Services For CBP's Office Of Intelligence.</t>
  </si>
  <si>
    <t>70CMSD25P00000146</t>
  </si>
  <si>
    <t>Provide ICE Office of Professional Responsibility with internet-based threat risk mitigation and proactive monitoring services, including vulnerability assessments</t>
  </si>
  <si>
    <t>Bahfed Corp</t>
  </si>
  <si>
    <t>70US0925F3OTH2698</t>
  </si>
  <si>
    <t>Authentic8 Research Software</t>
  </si>
  <si>
    <t>70US0921C70090075</t>
  </si>
  <si>
    <t>Gov requires purchase of Babel licenses used by secret service</t>
  </si>
  <si>
    <t>70B02C26F00000180</t>
  </si>
  <si>
    <t>BWC mounts and cables</t>
  </si>
  <si>
    <t>70B02C26F00000155</t>
  </si>
  <si>
    <t>DEMS license refresh</t>
  </si>
  <si>
    <t>70B02C26F00000038</t>
  </si>
  <si>
    <t>D/O #18 in BWC IDIQ</t>
  </si>
  <si>
    <t>70B02C25F00001029</t>
  </si>
  <si>
    <t>Award of IDVRS SSV delivery order #17 for license referesh under BWC IDIQ</t>
  </si>
  <si>
    <t>70CMSW25FR0000080</t>
  </si>
  <si>
    <t>BWC commodities/services</t>
  </si>
  <si>
    <t>70B02C25F00000484</t>
  </si>
  <si>
    <t>Award of IDVRS SSV delivery order #16 for license renewal under BWC IDIQ</t>
  </si>
  <si>
    <t>70CMSW25FR0000011</t>
  </si>
  <si>
    <t>Congressional mandated body worn camera commodities and services</t>
  </si>
  <si>
    <t>70CMSW24FR0000097</t>
  </si>
  <si>
    <t>Body worn cameras for field use</t>
  </si>
  <si>
    <t>70B02C24F00000799</t>
  </si>
  <si>
    <t>IDVRS Do #11 in BWC IDIQ</t>
  </si>
  <si>
    <t xml:space="preserve">CBP </t>
  </si>
  <si>
    <t>70B02C24F00000791</t>
  </si>
  <si>
    <t>Do 14 cabeling in BWC IDIQ</t>
  </si>
  <si>
    <t>70B02C24F00000649</t>
  </si>
  <si>
    <t>Award-cabling in BWC IDIQ</t>
  </si>
  <si>
    <t>70US0924F1DHS2948</t>
  </si>
  <si>
    <t xml:space="preserve">Inicident driven video recording systems </t>
  </si>
  <si>
    <t>70B02C24F00000345</t>
  </si>
  <si>
    <t>IDVRS SSV delivery order #10 for licenses</t>
  </si>
  <si>
    <t>70B02C24F00000424</t>
  </si>
  <si>
    <t>Licenses in support of the body worn cameras</t>
  </si>
  <si>
    <t>70B02C24F00000310</t>
  </si>
  <si>
    <t>IDVRS SSV delivery order #9 for equipment</t>
  </si>
  <si>
    <t>70B02C24F00000286</t>
  </si>
  <si>
    <t>IDVRS body worn camera equipment</t>
  </si>
  <si>
    <t>70B03C24F00000228</t>
  </si>
  <si>
    <t>Award under BWC IDIQ</t>
  </si>
  <si>
    <t>70B02C24F00000074</t>
  </si>
  <si>
    <t>Equipment under BWC IDIQ</t>
  </si>
  <si>
    <t>70RFP323FREH00019</t>
  </si>
  <si>
    <t>IDVRS / Body worn cameras</t>
  </si>
  <si>
    <t>70CMSW23FR0000118</t>
  </si>
  <si>
    <t>BWC and accessories</t>
  </si>
  <si>
    <t>70B02C23F00001272</t>
  </si>
  <si>
    <t>IDVRS strategic sourcing delivery order #4</t>
  </si>
  <si>
    <t>70B02C23F00001075</t>
  </si>
  <si>
    <t>IDVRS award-cabling for various locations</t>
  </si>
  <si>
    <t>70CMSW23FR0000082</t>
  </si>
  <si>
    <t>BWC and accessories for ICE congressional mandate</t>
  </si>
  <si>
    <t>70B02C23F00000828</t>
  </si>
  <si>
    <t>Body worn camera equipment</t>
  </si>
  <si>
    <t>70B02C23F00000628</t>
  </si>
  <si>
    <t>70B03C20C00000167</t>
  </si>
  <si>
    <t>Award of IDVRS-Body Worn Cameras</t>
  </si>
  <si>
    <t>70B02C22C00000053</t>
  </si>
  <si>
    <t>IDVRS software</t>
  </si>
  <si>
    <t>70CMSW21P00000046</t>
  </si>
  <si>
    <t>Body worn cameras to support congressional mandate for pilot program</t>
  </si>
  <si>
    <t>70CMSW22P00000036</t>
  </si>
  <si>
    <t>Purchase additional BWC equipment</t>
  </si>
  <si>
    <t>70B04C25P00000018</t>
  </si>
  <si>
    <t>Aware CaptureSuite Licenses</t>
  </si>
  <si>
    <t>70B03C24F00000561</t>
  </si>
  <si>
    <t>Skydio drones</t>
  </si>
  <si>
    <t>70B03C23F00001353</t>
  </si>
  <si>
    <t>Skydio x2d drones for CBP SRT</t>
  </si>
  <si>
    <t>70CMSD23FC0000035</t>
  </si>
  <si>
    <t xml:space="preserve">Skydio x2d aef bundle </t>
  </si>
  <si>
    <t>70B02C22F00001159</t>
  </si>
  <si>
    <t>Skydio drone equipment and accessories</t>
  </si>
  <si>
    <t>70B03C22F00001003</t>
  </si>
  <si>
    <t>Skydio training kits, controllers, and spare propellers</t>
  </si>
  <si>
    <t>70B02C26F00000166</t>
  </si>
  <si>
    <t>New call order</t>
  </si>
  <si>
    <t>70B03C25F00001308</t>
  </si>
  <si>
    <t>Skydio X10D drones, accessories and training</t>
  </si>
  <si>
    <t>70B02C25F00000908</t>
  </si>
  <si>
    <t>X10D 0004</t>
  </si>
  <si>
    <t>70CMSD25FC0000047</t>
  </si>
  <si>
    <t>Small unmanned aircraft systems</t>
  </si>
  <si>
    <t>70B03C25F00001185</t>
  </si>
  <si>
    <t>Skydio X10D Kit-VT300-Z</t>
  </si>
  <si>
    <t>70CMSD25FC0000039</t>
  </si>
  <si>
    <t>70B03C25F00000630</t>
  </si>
  <si>
    <t>Skydio X10D and accessories</t>
  </si>
  <si>
    <t>70CMSD25FC0000031</t>
  </si>
  <si>
    <t>70B03C25F00000705</t>
  </si>
  <si>
    <t>70B02C25F00000658</t>
  </si>
  <si>
    <t>X10D Endurance Kits</t>
  </si>
  <si>
    <t>70B03C25F00000650</t>
  </si>
  <si>
    <t>SUAS X10D Drones</t>
  </si>
  <si>
    <t>70B03C25F00000924</t>
  </si>
  <si>
    <t>23 EA Skydio drones</t>
  </si>
  <si>
    <t>70CMSD25FC0000027</t>
  </si>
  <si>
    <t>70B02C25F00000448</t>
  </si>
  <si>
    <t>Yuman sector X10D order</t>
  </si>
  <si>
    <t>70B03C25F00000793</t>
  </si>
  <si>
    <t>Skydio X10D kit drone</t>
  </si>
  <si>
    <t>70B03C25F00000839</t>
  </si>
  <si>
    <t>Skydio X10D kit drone and Skydio nightsense with IR attachment</t>
  </si>
  <si>
    <t>70B03C25F00000628</t>
  </si>
  <si>
    <t>10 Skydio X10D drone kits</t>
  </si>
  <si>
    <t>70CMSW25FC0000084</t>
  </si>
  <si>
    <t>aerial drone kits</t>
  </si>
  <si>
    <t>70B02C25F00000449</t>
  </si>
  <si>
    <t>Seattle sector SUAS order</t>
  </si>
  <si>
    <t>70B03C25F00000476</t>
  </si>
  <si>
    <t>2 Skydio X10D kit-VT300-Z drones</t>
  </si>
  <si>
    <t>70B02C25F00000403</t>
  </si>
  <si>
    <t>SUAS and accessories</t>
  </si>
  <si>
    <t>70B03C25F00000377</t>
  </si>
  <si>
    <t>70B02C25F00000282</t>
  </si>
  <si>
    <t>PMOD x10D kits and accessories</t>
  </si>
  <si>
    <t>70B03C25F00000193</t>
  </si>
  <si>
    <t>Skydio x10d drone kit</t>
  </si>
  <si>
    <t>70CMSW25FC0000014</t>
  </si>
  <si>
    <t>Equipment for ERO drone training course small unmanned aircraft systems pilot</t>
  </si>
  <si>
    <t>70B02C25F00000076</t>
  </si>
  <si>
    <t>OPA x10d order</t>
  </si>
  <si>
    <t>70US0924F1DHS2152</t>
  </si>
  <si>
    <t>Small unmanned aviation system</t>
  </si>
  <si>
    <t>70US0924F3OTH2172</t>
  </si>
  <si>
    <t>Skydio x10d kit</t>
  </si>
  <si>
    <t>70CMSW24FC0000121</t>
  </si>
  <si>
    <t>Skydio X10D kits</t>
  </si>
  <si>
    <t>70B03C22F00001215</t>
  </si>
  <si>
    <t>Fourt small unmanned aircraft systems</t>
  </si>
  <si>
    <t>70B03C22F00001131</t>
  </si>
  <si>
    <t>Small unmanned aircraft</t>
  </si>
  <si>
    <t>70B03C23F00000407</t>
  </si>
  <si>
    <t>70B06C23F00001291</t>
  </si>
  <si>
    <t>Drone equipment and accessories SUAS</t>
  </si>
  <si>
    <t>70B02C24F00000385</t>
  </si>
  <si>
    <t>Parts and spares</t>
  </si>
  <si>
    <t>70B03C25F00000307</t>
  </si>
  <si>
    <t>70B02C25F00000228</t>
  </si>
  <si>
    <t>Replacement batteries</t>
  </si>
  <si>
    <t>70B02C25F00000038</t>
  </si>
  <si>
    <t>Repair services</t>
  </si>
  <si>
    <t>70CMSD22FC0000021</t>
  </si>
  <si>
    <t>70US0922F1DHS2085</t>
  </si>
  <si>
    <t>Small, unmanned aircraft systems</t>
  </si>
  <si>
    <t>70CMSD22FC0000018</t>
  </si>
  <si>
    <t>Small UAS BPA Drone Kit</t>
  </si>
  <si>
    <t>70CMSD22FC0000017</t>
  </si>
  <si>
    <t>SUAS BPA Drone kit</t>
  </si>
  <si>
    <t>70CMSD22FC0000013</t>
  </si>
  <si>
    <t>Supply of a SUAS</t>
  </si>
  <si>
    <t>70US0922F3OTH2004</t>
  </si>
  <si>
    <t>70CMSD25FR0000155</t>
  </si>
  <si>
    <t>Provide HSI CYMRU Recon software licenses for network monitoring, enabling threat intelligence, cybersecurity, and investigative operations</t>
  </si>
  <si>
    <t>Affigent Llc</t>
  </si>
  <si>
    <t>70B04C21F00001094</t>
  </si>
  <si>
    <t>Brand name network equipment required to implement incident-driven video recording systems core equipment refresh</t>
  </si>
  <si>
    <t>Comments</t>
  </si>
  <si>
    <t xml:space="preserve"> surveillancewatch</t>
  </si>
  <si>
    <t>https://www.404media.co/dhs-plans-to-buy-more-predator-style-drones/; https://sam.gov/workspace/contract/opp/7a9d4026b5044e16a5a7665ada5a67fd/view</t>
  </si>
  <si>
    <t>https://www.unmannedsystemstechnology.com/2026/04/robinson-helicopter-company-launches-unmanned-business-unit-to-scale-autonomous-aviation-vertical-lift/</t>
  </si>
  <si>
    <t>Axon Enterprise, Inc</t>
  </si>
  <si>
    <t>https://www.cbp.gov/document/directives/cbp-directive-4320-030b-incident-driven-video-recording-system</t>
  </si>
  <si>
    <t>https://www.wired.com/story/mobile-fortify-face-recognition-nec-ice-cbp/</t>
  </si>
  <si>
    <t>https://www.npr.org/2026/05/27/nx-s1-5822429/ice-buys-iris-scanners-tech-tools</t>
  </si>
  <si>
    <t>https://sam.gov/workspace/contract/opp/3a3179e66c7e4d99ad80340ae213a751/view</t>
  </si>
  <si>
    <t>https://www.aware.com/</t>
  </si>
  <si>
    <t>https://www.biometricupdate.com/202409/ice-to-award-contract-to-field-more-nec-fingerprint-capture-devices</t>
  </si>
  <si>
    <t>EFF</t>
  </si>
  <si>
    <t>https://micahflee.github.io/ice-contracts/?search=airport&amp;minYear=2025&amp;modalType=contract&amp;modalAwardId=1459</t>
  </si>
  <si>
    <t>Incadence Strategic Solutions</t>
  </si>
  <si>
    <t>https://www.biometricupdate.com/companies/incadence-strategic-solutions</t>
  </si>
  <si>
    <t>https://www.idemia-nss.com/livescan/</t>
  </si>
  <si>
    <t>https://www.dhs.gov/publication/dhsobimpia-004-homeland-advanced-recognition-technology-system-hart-increment-1</t>
  </si>
  <si>
    <t>https://investigate.afsc.org/company/science-applications-intl</t>
  </si>
  <si>
    <t>https://micahflee.github.io/ice-contracts/?modalType=contract&amp;modalAwardId=1371</t>
  </si>
  <si>
    <t>https://www.vice.com/en/article/dhs-uses-ai-tool-babel-x-babel-street-social-media-citizens-refugees/</t>
  </si>
  <si>
    <t>Confirms CBP access to Locate X: https://epic.org/wp-content/uploads/2024/11/EPIC-21-12-03-CBP-FOIA-20221118-2nd-Interim-Production.pdf</t>
  </si>
  <si>
    <t>https://aws.amazon.com/marketplace/pp/prodview-tpvg5fjwdxrz2</t>
  </si>
  <si>
    <t>See footnote 11 and page 12: https://www.oig.dhs.gov/sites/default/files/assets/2023-03/OIG-23-17-Feb23-Redacted.pdf</t>
  </si>
  <si>
    <t>https://notechforice.com/wp-content/uploads/2026/06/Tech-Behind-ICE-Oligarchs-Immigration-Enforcement-and-the-Threat-to-Democracy.pdf</t>
  </si>
  <si>
    <t>Lexis Nexis Risk Solutions Inc.</t>
  </si>
  <si>
    <t>https://risk.lexisnexis.com/insights-resources/infographic/accurint-trax-featuring-viper</t>
  </si>
  <si>
    <t>https://www.motorolasolutions.com/en_us/products/command-center-software/public-safety-software/analysis-and-investigation/callyo-investigative-solutions.html</t>
  </si>
  <si>
    <t>https://prismreports.org/2026/04/29/dhs-surveillance-location-data-penlink-plx/</t>
  </si>
  <si>
    <t>https://sam.gov/workspace/contract/opp/b92458a603f24cb5926eafe26829cde5/view</t>
  </si>
  <si>
    <t>Techops Specialty Vehicles, LLC</t>
  </si>
  <si>
    <t>https://techinquiry.org/?text=70CMSD24FR0000115&amp;guard=</t>
  </si>
  <si>
    <t>https://www.fpds.gov/ezsearch/fpdsportal?indexName=awardfull&amp;templateName=1.5.3&amp;s=FPDS.GOV&amp;q=70CMSD24FR0000115&amp;x=0&amp;y=0</t>
  </si>
  <si>
    <t>AI inventory</t>
  </si>
  <si>
    <t>https://techinquiry.org/?text=70CDCR18P00000017&amp;guard=</t>
  </si>
  <si>
    <t>Thundercat Technology</t>
  </si>
  <si>
    <t>https://www.oxygenforensics.com/resources/import-berla-ive/</t>
  </si>
  <si>
    <t>https://www.cybertriage.com/</t>
  </si>
  <si>
    <t>Blue Tech Inc.</t>
  </si>
  <si>
    <t>FS Partners</t>
  </si>
  <si>
    <t>Snap, Inc.</t>
  </si>
  <si>
    <t>https://www.exterro.com/digital-forensics-software/ftk-forensic-toolkit</t>
  </si>
  <si>
    <t>https://www.teeltech.com/mobile-device-forensic-tools/finalmobile-forensics/</t>
  </si>
  <si>
    <t>https://www.intelligenceonline.com/americas/2026/04/22/ice-buys-forensic-analysis-software-for-investigations,110709003-eve</t>
  </si>
  <si>
    <t>https://getdataforensics.com/product/forensic-explorer-fex/</t>
  </si>
  <si>
    <t>https://techcrunch.com/2025/09/18/ice-unit-signs-new-3-million-contract-for-phone-hacking-tech/</t>
  </si>
  <si>
    <t>Govplace, Llc</t>
  </si>
  <si>
    <t>https://x-ways.net/winhex/</t>
  </si>
  <si>
    <t>https://privacyinternational.org/news-analysis/2995/ice-paying-millions-surveillance-company-spy-peoples-communications</t>
  </si>
  <si>
    <t>https://www.authentic8.com/</t>
  </si>
  <si>
    <t>Slam Technical Services LLC</t>
  </si>
  <si>
    <t>70CMSD25P00000049</t>
  </si>
  <si>
    <t>SILO licenses</t>
  </si>
  <si>
    <t>70CMSD22FR0000160</t>
  </si>
  <si>
    <t>Renewal of SILO web licenses</t>
  </si>
  <si>
    <t xml:space="preserve"> surveillancewatch; https://theintercept.com/2025/02/11/ice-immigration-social-media-surveillance/</t>
  </si>
  <si>
    <t>surveillancewatch</t>
  </si>
  <si>
    <t>Note: Fivecast is from AI inventory</t>
  </si>
  <si>
    <t>https://www.brennancenter.org/our-work/research-reports/timeline-social-media-monitoring-vetting-department-homeland-security-and#:~:text=Extreme%20Vetting%20Initiative%20(EVI)%3A</t>
  </si>
  <si>
    <t>Thundercat Technology LLC</t>
  </si>
  <si>
    <t>AI use case inventory</t>
  </si>
  <si>
    <t>The Mitre Corporation</t>
  </si>
  <si>
    <t>Mitre Corporation</t>
  </si>
  <si>
    <t>70US0922F1DHS2306</t>
  </si>
  <si>
    <t>Chameleon UC platform</t>
  </si>
  <si>
    <t>https://www.documentcloud.org/documents/28508809-ice-wide-analytical-tools/?ref=404media.co</t>
  </si>
  <si>
    <t>70CMSD21FR0000192</t>
  </si>
  <si>
    <t>HSSEDI FFRDC Chameleon follow on</t>
  </si>
  <si>
    <t>Note: NexusXplore is from AI inventory</t>
  </si>
  <si>
    <t>EFF; https://seerist.com/press-release/national-geospatial-intelligence-agency-expands-contract/</t>
  </si>
  <si>
    <t>https://www.skopenow.com/</t>
  </si>
  <si>
    <t>https://www.vice.com/en/article/fbi-bought-netflow-data-team-cymru-contract/</t>
  </si>
  <si>
    <t>https://www.documentcloud.org/documents/26194326-2025-zignal-executive-summary/</t>
  </si>
  <si>
    <t>LexisNexis Risk Solutions Inc.</t>
  </si>
  <si>
    <t>Relx (LexisNexis)</t>
  </si>
  <si>
    <t>https://www.404media.co/ice-appears-to-be-buying-immigrants-tax-identifiers-from-a-data-broker/</t>
  </si>
  <si>
    <t>Thomson Reuters Special Services LLC</t>
  </si>
  <si>
    <t>See May 2025: https://www.fpds.gov/ezsearch/fpdsportal?indexName=awardfull&amp;templateName=1.5.3&amp;s=FPDS.GOV&amp;q=70CMSD21C00000002&amp;x=0&amp;y=0</t>
  </si>
  <si>
    <t>https://thetyee.ca/News/2026/03/30/Union-Pressures-Thomson-Reuters-Tools-ICE/</t>
  </si>
  <si>
    <t>https://whooster.com/</t>
  </si>
  <si>
    <t>https://www.404media.co/ice-contracts-company-making-bounty-hunter-ai-agents/</t>
  </si>
  <si>
    <t>Only including modification 11, which is for skip tracing. Other aspects not clearly surveillance</t>
  </si>
  <si>
    <t>https://www.wired.com/story/ice-bounty-hunter-spy-program/</t>
  </si>
  <si>
    <t>https://investors.geogroup.com/news-releases/news-release-details/geo-group-awarded-contract-us-immigration-and-customs-1</t>
  </si>
  <si>
    <t>https://www.asatunews.co.id/en/ice-contract-mvm-inc-immigrant-wellness-checks</t>
  </si>
  <si>
    <t>https://www.wired.com/story/ice-is-using-palantirs-ai-tools-to-sort-through-tips/?_sp=b8d30db9-79cb-40eb-87a2-5f59aa470c4f.1769794831255 and Immigration OS</t>
  </si>
  <si>
    <t>https://www.levernews.com/inside-ices-12-million-plan-to-map-immigrants-patterns-of-life/; https://www.documentcloud.org/documents/28043517-april-2026-project-safe-haven-statement-of-work/?ref=levernews.com; https://jacobin.com/2026/05/edge-ops-ice-surveillance-website</t>
  </si>
  <si>
    <t>https://fedscoop.com/ice-immigration-visas-leadtrac-app-terrorism-criminal-investigations/</t>
  </si>
  <si>
    <t>https://ig.ft.com/us-ice-surveillance/</t>
  </si>
  <si>
    <t>LexisNexis Special Services Inc.</t>
  </si>
  <si>
    <t>See DHS-55 in the AI use case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</si>
</sst>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1B1B1B"/>
      <name val="Aptos Narrow"/>
      <scheme val="minor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2" fillId="0" borderId="0" xfId="1" applyFill="1"/>
    <xf numFmtId="0" fontId="2" fillId="0" borderId="0" xfId="1" applyFill="1" applyAlignme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14" fontId="6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/>
    <xf numFmtId="164" fontId="1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4" fontId="4" fillId="0" borderId="0" xfId="0" applyNumberFormat="1" applyFont="1"/>
    <xf numFmtId="0" fontId="2" fillId="0" borderId="0" xfId="1" applyFill="1" applyAlignment="1">
      <alignment wrapText="1"/>
    </xf>
    <xf numFmtId="0" fontId="9" fillId="0" borderId="0" xfId="0" applyFont="1" applyAlignment="1">
      <alignment wrapText="1" readingOrder="1"/>
    </xf>
    <xf numFmtId="164" fontId="9" fillId="0" borderId="0" xfId="0" applyNumberFormat="1" applyFont="1" applyAlignment="1">
      <alignment wrapText="1" readingOrder="1"/>
    </xf>
    <xf numFmtId="0" fontId="7" fillId="0" borderId="0" xfId="1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 applyFill="1" applyAlignment="1">
      <alignment wrapText="1" readingOrder="1"/>
    </xf>
    <xf numFmtId="14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saspending.gov/award/CONT_AWD_70CMSD24FR0000078_7012_HSHQDC13D00019_7001" TargetMode="External"/><Relationship Id="rId299" Type="http://schemas.openxmlformats.org/officeDocument/2006/relationships/hyperlink" Target="https://www.usaspending.gov/award/CONT_AWD_70B01C24F00001106_7014_70B02C24A00000032_7014" TargetMode="External"/><Relationship Id="rId21" Type="http://schemas.openxmlformats.org/officeDocument/2006/relationships/hyperlink" Target="https://www.usaspending.gov/award/CONT_IDV_70CDCR26D00000015_7012" TargetMode="External"/><Relationship Id="rId63" Type="http://schemas.openxmlformats.org/officeDocument/2006/relationships/hyperlink" Target="https://www.usaspending.gov/award/CONT_AWD_70B03C26F00000066_7014_NNG15SD74B_8000" TargetMode="External"/><Relationship Id="rId159" Type="http://schemas.openxmlformats.org/officeDocument/2006/relationships/hyperlink" Target="https://www.usaspending.gov/award/CONT_AWD_70B03C23F00000501_7014_HSHQDC12D00013_7001" TargetMode="External"/><Relationship Id="rId324" Type="http://schemas.openxmlformats.org/officeDocument/2006/relationships/hyperlink" Target="https://www.usaspending.gov/award/CONT_AWD_70CMSD25FC0000047_7012_70B02C24A00000030_7014" TargetMode="External"/><Relationship Id="rId366" Type="http://schemas.openxmlformats.org/officeDocument/2006/relationships/hyperlink" Target="https://www.usaspending.gov/award/CONT_AWD_70B02C24F00000286_7014_70B03C23D00000006_7014" TargetMode="External"/><Relationship Id="rId170" Type="http://schemas.openxmlformats.org/officeDocument/2006/relationships/hyperlink" Target="https://www.usaspending.gov/award/CONT_AWD_70SBUR23C00000014_7003_-NONE-_-NONE-" TargetMode="External"/><Relationship Id="rId226" Type="http://schemas.openxmlformats.org/officeDocument/2006/relationships/hyperlink" Target="https://www.usaspending.gov/award/CONT_AWD_70US0922P70092150_7009_-NONE-_-NONE-" TargetMode="External"/><Relationship Id="rId433" Type="http://schemas.openxmlformats.org/officeDocument/2006/relationships/hyperlink" Target="https://www.wired.com/story/ice-bounty-hunter-spy-program/" TargetMode="External"/><Relationship Id="rId268" Type="http://schemas.openxmlformats.org/officeDocument/2006/relationships/hyperlink" Target="https://www.usaspending.gov/award/CONT_AWD_70SBUR25P00000019_7003_-NONE-_-NONE-" TargetMode="External"/><Relationship Id="rId32" Type="http://schemas.openxmlformats.org/officeDocument/2006/relationships/hyperlink" Target="https://www.usaspending.gov/award/CONT_AWD_70CMSD21P00000127_7012_-NONE-_-NONE-" TargetMode="External"/><Relationship Id="rId74" Type="http://schemas.openxmlformats.org/officeDocument/2006/relationships/hyperlink" Target="https://www.usaspending.gov/award/CONT_AWD_70B03C25F00001217_7014_NNG15SC82B_8000" TargetMode="External"/><Relationship Id="rId128" Type="http://schemas.openxmlformats.org/officeDocument/2006/relationships/hyperlink" Target="https://www.usaspending.gov/award/CONT_AWD_70US0924C70093754_7009_-NONE-_-NONE-" TargetMode="External"/><Relationship Id="rId335" Type="http://schemas.openxmlformats.org/officeDocument/2006/relationships/hyperlink" Target="https://www.usaspending.gov/award/CONT_AWD_70B03C25F00000793_7014_70B02C24A00000030_7014" TargetMode="External"/><Relationship Id="rId377" Type="http://schemas.openxmlformats.org/officeDocument/2006/relationships/hyperlink" Target="https://www.usaspending.gov/award/CONT_AWD_70B01C22F00000777_7014_70B03C20A00000017_7014" TargetMode="External"/><Relationship Id="rId5" Type="http://schemas.openxmlformats.org/officeDocument/2006/relationships/hyperlink" Target="https://www.usaspending.gov/award/CONT_AWD_70CMSD25P00000111_7012_-NONE-_-NONE-" TargetMode="External"/><Relationship Id="rId181" Type="http://schemas.openxmlformats.org/officeDocument/2006/relationships/hyperlink" Target="https://www.usaspending.gov/award/CONT_AWD_70SBUR25F00000065_7003_03310323D0035_0300" TargetMode="External"/><Relationship Id="rId237" Type="http://schemas.openxmlformats.org/officeDocument/2006/relationships/hyperlink" Target="https://www.usaspending.gov/award/CONT_AWD_70CMSD22P00000016_7012_-NONE-_-NONE-" TargetMode="External"/><Relationship Id="rId402" Type="http://schemas.openxmlformats.org/officeDocument/2006/relationships/hyperlink" Target="https://www.npr.org/2026/05/27/nx-s1-5822429/ice-buys-iris-scanners-tech-tools" TargetMode="External"/><Relationship Id="rId279" Type="http://schemas.openxmlformats.org/officeDocument/2006/relationships/hyperlink" Target="https://www.usaspending.gov/award/CONT_AWD_70SBUR23F00000126_7003_GS35F404DA_4732" TargetMode="External"/><Relationship Id="rId444" Type="http://schemas.openxmlformats.org/officeDocument/2006/relationships/hyperlink" Target="https://www.usaspending.gov/award/CONT_AWD_70CMSD22FR0000160_7012_47QTCA19D00FP_4732" TargetMode="External"/><Relationship Id="rId43" Type="http://schemas.openxmlformats.org/officeDocument/2006/relationships/hyperlink" Target="https://www.usaspending.gov/award/CONT_AWD_70US0925F3OTH2402_7009_NNG15SD02B_8000" TargetMode="External"/><Relationship Id="rId139" Type="http://schemas.openxmlformats.org/officeDocument/2006/relationships/hyperlink" Target="https://www.usaspending.gov/award/CONT_IDV_70CMSD25D00000001_7012" TargetMode="External"/><Relationship Id="rId290" Type="http://schemas.openxmlformats.org/officeDocument/2006/relationships/hyperlink" Target="https://www.usaspending.gov/award/CONT_AWD_70B03C22F00001271_7014_70B02C22A00000007_7014" TargetMode="External"/><Relationship Id="rId304" Type="http://schemas.openxmlformats.org/officeDocument/2006/relationships/hyperlink" Target="https://www.usaspending.gov/award/CONT_AWD_70B03C24F00000758_7014_70B02C22A00000001_7014" TargetMode="External"/><Relationship Id="rId346" Type="http://schemas.openxmlformats.org/officeDocument/2006/relationships/hyperlink" Target="https://www.usaspending.gov/award/CONT_AWD_70B02C25F00000076_7014_70B02C24A00000030_7014" TargetMode="External"/><Relationship Id="rId388" Type="http://schemas.openxmlformats.org/officeDocument/2006/relationships/hyperlink" Target="https://www.usaspending.gov/award/CONT_AWD_70B01C26F00000081_7014_70B01C24A00000028_7014" TargetMode="External"/><Relationship Id="rId85" Type="http://schemas.openxmlformats.org/officeDocument/2006/relationships/hyperlink" Target="https://www.usaspending.gov/award/CONT_AWD_70CTD018FR0000193_7012_GS35F386DA_4732" TargetMode="External"/><Relationship Id="rId150" Type="http://schemas.openxmlformats.org/officeDocument/2006/relationships/hyperlink" Target="https://www.usaspending.gov/award/CONT_AWD_70CMSD25P00000115_7012_-NONE-_-NONE-" TargetMode="External"/><Relationship Id="rId192" Type="http://schemas.openxmlformats.org/officeDocument/2006/relationships/hyperlink" Target="https://www.usaspending.gov/award/CONT_AWD_70CMSD21C00000001_7012_-NONE-_-NONE-" TargetMode="External"/><Relationship Id="rId206" Type="http://schemas.openxmlformats.org/officeDocument/2006/relationships/hyperlink" Target="https://www.usaspending.gov/award/CONT_AWD_70CMSD23P00000045_7012_-NONE-_-NONE-" TargetMode="External"/><Relationship Id="rId413" Type="http://schemas.openxmlformats.org/officeDocument/2006/relationships/hyperlink" Target="https://thetyee.ca/News/2026/03/30/Union-Pressures-Thomson-Reuters-Tools-ICE/" TargetMode="External"/><Relationship Id="rId248" Type="http://schemas.openxmlformats.org/officeDocument/2006/relationships/hyperlink" Target="https://www.usaspending.gov/award/CONT_AWD_70CMSD26P00000034_7012_-NONE-_-NONE-" TargetMode="External"/><Relationship Id="rId12" Type="http://schemas.openxmlformats.org/officeDocument/2006/relationships/hyperlink" Target="https://www.usaspending.gov/award/CONT_AWD_70CTD019C00000001_7012_-NONE-_-NONE-" TargetMode="External"/><Relationship Id="rId108" Type="http://schemas.openxmlformats.org/officeDocument/2006/relationships/hyperlink" Target="https://www.usaspending.gov/award/CONT_AWD_70CMSD21P00000067_7012_-NONE-_-NONE-" TargetMode="External"/><Relationship Id="rId315" Type="http://schemas.openxmlformats.org/officeDocument/2006/relationships/hyperlink" Target="https://www.usaspending.gov/award/CONT_AWD_70CMSD22FC0000021_7012_70B02C22A00000001_7014" TargetMode="External"/><Relationship Id="rId357" Type="http://schemas.openxmlformats.org/officeDocument/2006/relationships/hyperlink" Target="https://www.usaspending.gov/award/CONT_AWD_70CMSW25FR0000011_7012_70B03C23D00000006_7014" TargetMode="External"/><Relationship Id="rId54" Type="http://schemas.openxmlformats.org/officeDocument/2006/relationships/hyperlink" Target="https://www.usaspending.gov/award/CONT_AWD_70RSAT23CB0000003_7001_-NONE-_-NONE-" TargetMode="External"/><Relationship Id="rId96" Type="http://schemas.openxmlformats.org/officeDocument/2006/relationships/hyperlink" Target="https://www.usaspending.gov/award/CONT_AWD_70CMSD20FR0000130_7012_NNG15SD27B_8000" TargetMode="External"/><Relationship Id="rId161" Type="http://schemas.openxmlformats.org/officeDocument/2006/relationships/hyperlink" Target="https://www.usaspending.gov/award/CONT_AWD_70CMSD23P00000112_7012_-NONE-_-NONE-" TargetMode="External"/><Relationship Id="rId217" Type="http://schemas.openxmlformats.org/officeDocument/2006/relationships/hyperlink" Target="https://www.usaspending.gov/award/CONT_AWD_70B03C25P00000210_7014_-NONE-_-NONE-" TargetMode="External"/><Relationship Id="rId399" Type="http://schemas.openxmlformats.org/officeDocument/2006/relationships/hyperlink" Target="https://ig.ft.com/us-ice-surveillance/" TargetMode="External"/><Relationship Id="rId259" Type="http://schemas.openxmlformats.org/officeDocument/2006/relationships/hyperlink" Target="https://www.usaspending.gov/award/CONT_AWD_70B03C21F00001121_7014_HSHQDC12D00013_7001" TargetMode="External"/><Relationship Id="rId424" Type="http://schemas.openxmlformats.org/officeDocument/2006/relationships/hyperlink" Target="https://www.exterro.com/digital-forensics-software/ftk-forensic-toolkit" TargetMode="External"/><Relationship Id="rId23" Type="http://schemas.openxmlformats.org/officeDocument/2006/relationships/hyperlink" Target="https://www.usaspending.gov/award/CONT_IDV_70CDCR26D00000008_7012" TargetMode="External"/><Relationship Id="rId119" Type="http://schemas.openxmlformats.org/officeDocument/2006/relationships/hyperlink" Target="https://www.usaspending.gov/award/CONT_AWD_70B06C22P00000321_7014_-NONE-_-NONE-" TargetMode="External"/><Relationship Id="rId270" Type="http://schemas.openxmlformats.org/officeDocument/2006/relationships/hyperlink" Target="https://www.usaspending.gov/award/CONT_AWD_70CMSD26FR0000045_7012_NNG15SD26B_8000" TargetMode="External"/><Relationship Id="rId326" Type="http://schemas.openxmlformats.org/officeDocument/2006/relationships/hyperlink" Target="https://www.usaspending.gov/award/CONT_AWD_70CMSD25FC0000039_7012_70B02C24A00000030_7014" TargetMode="External"/><Relationship Id="rId65" Type="http://schemas.openxmlformats.org/officeDocument/2006/relationships/hyperlink" Target="https://www.usaspending.gov/award/CONT_AWD_70B03C25F00000068_7014_NNG15SD74B_8000" TargetMode="External"/><Relationship Id="rId130" Type="http://schemas.openxmlformats.org/officeDocument/2006/relationships/hyperlink" Target="https://www.usaspending.gov/award/CONT_IDV_HSHQDC14DE2035_7001" TargetMode="External"/><Relationship Id="rId368" Type="http://schemas.openxmlformats.org/officeDocument/2006/relationships/hyperlink" Target="https://www.usaspending.gov/award/CONT_AWD_70B02C24F00000074_7014_70B03C23D00000006_7014" TargetMode="External"/><Relationship Id="rId172" Type="http://schemas.openxmlformats.org/officeDocument/2006/relationships/hyperlink" Target="https://www.usaspending.gov/award/CONT_AWD_70US0926P70092674_7009_-NONE-_-NONE-" TargetMode="External"/><Relationship Id="rId228" Type="http://schemas.openxmlformats.org/officeDocument/2006/relationships/hyperlink" Target="https://www.usaspending.gov/award/CONT_AWD_70CMSD26C00000001_7012_-NONE-_-NONE-" TargetMode="External"/><Relationship Id="rId435" Type="http://schemas.openxmlformats.org/officeDocument/2006/relationships/hyperlink" Target="https://investors.geogroup.com/news-releases/news-release-details/geo-group-awarded-contract-us-immigration-and-customs-1" TargetMode="External"/><Relationship Id="rId281" Type="http://schemas.openxmlformats.org/officeDocument/2006/relationships/hyperlink" Target="https://www.usaspending.gov/award/CONT_AWD_70CMSW22P00000036_7012_-NONE-_-NONE-" TargetMode="External"/><Relationship Id="rId337" Type="http://schemas.openxmlformats.org/officeDocument/2006/relationships/hyperlink" Target="https://www.usaspending.gov/award/CONT_AWD_70B03C25F00000628_7014_70B02C24A00000030_7014" TargetMode="External"/><Relationship Id="rId34" Type="http://schemas.openxmlformats.org/officeDocument/2006/relationships/hyperlink" Target="https://www.usaspending.gov/award/CONT_AWD_70B03C25P00000321_7014_-NONE-_-NONE-" TargetMode="External"/><Relationship Id="rId76" Type="http://schemas.openxmlformats.org/officeDocument/2006/relationships/hyperlink" Target="https://www.usaspending.gov/award/CONT_AWD_70CMSD23FR0000182_7012_HSHQDC13D00026_7001" TargetMode="External"/><Relationship Id="rId141" Type="http://schemas.openxmlformats.org/officeDocument/2006/relationships/hyperlink" Target="https://www.usaspending.gov/award/CONT_AWD_70RDA126FR0000001_7001_47QTCK18D0003_4732" TargetMode="External"/><Relationship Id="rId379" Type="http://schemas.openxmlformats.org/officeDocument/2006/relationships/hyperlink" Target="https://www.usaspending.gov/award/CONT_AWD_70B01C21F00001058_7014_70B03C20A00000017_7014" TargetMode="External"/><Relationship Id="rId7" Type="http://schemas.openxmlformats.org/officeDocument/2006/relationships/hyperlink" Target="https://www.usaspending.gov/award/CONT_AWD_70US0922C70092343_7009_-NONE-_-NONE-" TargetMode="External"/><Relationship Id="rId183" Type="http://schemas.openxmlformats.org/officeDocument/2006/relationships/hyperlink" Target="https://www.usaspending.gov/award/CONT_AWD_70CMSD19P00000137_7012_-NONE-_-NONE-" TargetMode="External"/><Relationship Id="rId239" Type="http://schemas.openxmlformats.org/officeDocument/2006/relationships/hyperlink" Target="https://www.usaspending.gov/award/CONT_AWD_70CMSD26P00000026_7012_-NONE-_-NONE-" TargetMode="External"/><Relationship Id="rId390" Type="http://schemas.openxmlformats.org/officeDocument/2006/relationships/hyperlink" Target="https://www.usaspending.gov/award/CONT_AWD_70CMSD20P00000187_7012_-NONE-_-NONE-" TargetMode="External"/><Relationship Id="rId404" Type="http://schemas.openxmlformats.org/officeDocument/2006/relationships/hyperlink" Target="https://fedscoop.com/ice-immigration-visas-leadtrac-app-terrorism-criminal-investigations/" TargetMode="External"/><Relationship Id="rId250" Type="http://schemas.openxmlformats.org/officeDocument/2006/relationships/hyperlink" Target="https://www.usaspending.gov/award/CONT_AWD_70CMSD26C00000003_7012_-NONE-_-NONE-" TargetMode="External"/><Relationship Id="rId292" Type="http://schemas.openxmlformats.org/officeDocument/2006/relationships/hyperlink" Target="https://www.usaspending.gov/award/CONT_AWD_70CMSD22FC0000044_7012_70B02C22A00000007_7014" TargetMode="External"/><Relationship Id="rId306" Type="http://schemas.openxmlformats.org/officeDocument/2006/relationships/hyperlink" Target="https://www.usaspending.gov/award/CONT_AWD_70B02C24F00000385_7014_70B02C22A00000001_7014" TargetMode="External"/><Relationship Id="rId45" Type="http://schemas.openxmlformats.org/officeDocument/2006/relationships/hyperlink" Target="https://www.usaspending.gov/award/CONT_AWD_70CDCR18P00000048_7012_-NONE-_-NONE-" TargetMode="External"/><Relationship Id="rId87" Type="http://schemas.openxmlformats.org/officeDocument/2006/relationships/hyperlink" Target="https://www.usaspending.gov/award/CONT_AWD_70CMSD23P00000145_7012_-NONE-_-NONE-" TargetMode="External"/><Relationship Id="rId110" Type="http://schemas.openxmlformats.org/officeDocument/2006/relationships/hyperlink" Target="https://www.usaspending.gov/award/CONT_AWD_70CMSD24P00000157_7012_-NONE-_-NONE-" TargetMode="External"/><Relationship Id="rId348" Type="http://schemas.openxmlformats.org/officeDocument/2006/relationships/hyperlink" Target="https://www.usaspending.gov/award/CONT_AWD_70US0924F3OTH2172_7009_70B02C24A00000030_7014" TargetMode="External"/><Relationship Id="rId152" Type="http://schemas.openxmlformats.org/officeDocument/2006/relationships/hyperlink" Target="https://www.usaspending.gov/award/CONT_AWD_70CMSD25P00000015_7012_-NONE-_-NONE-" TargetMode="External"/><Relationship Id="rId194" Type="http://schemas.openxmlformats.org/officeDocument/2006/relationships/hyperlink" Target="https://www.usaspending.gov/award/CONT_AWD_70CMSD26P00000013_7012_-NONE-_-NONE-" TargetMode="External"/><Relationship Id="rId208" Type="http://schemas.openxmlformats.org/officeDocument/2006/relationships/hyperlink" Target="https://www.usaspending.gov/award/CONT_AWD_70B02C23P00000417_7014_-NONE-_-NONE-" TargetMode="External"/><Relationship Id="rId415" Type="http://schemas.openxmlformats.org/officeDocument/2006/relationships/hyperlink" Target="https://www.aware.com/" TargetMode="External"/><Relationship Id="rId261" Type="http://schemas.openxmlformats.org/officeDocument/2006/relationships/hyperlink" Target="https://www.usaspending.gov/award/CONT_AWD_70CTD019C00000004_7012_-NONE-_-NONE-" TargetMode="External"/><Relationship Id="rId14" Type="http://schemas.openxmlformats.org/officeDocument/2006/relationships/hyperlink" Target="https://www.usaspending.gov/award/CONT_IDV_70CDCR26D00000020_7012" TargetMode="External"/><Relationship Id="rId56" Type="http://schemas.openxmlformats.org/officeDocument/2006/relationships/hyperlink" Target="https://www.usaspending.gov/award/CONT_AWD_70CMSD24FR0000050_7012_GS00Q14OADU116_4732" TargetMode="External"/><Relationship Id="rId317" Type="http://schemas.openxmlformats.org/officeDocument/2006/relationships/hyperlink" Target="https://www.usaspending.gov/award/CONT_AWD_70CMSD22FC0000018_7012_70B02C22A00000001_7014" TargetMode="External"/><Relationship Id="rId359" Type="http://schemas.openxmlformats.org/officeDocument/2006/relationships/hyperlink" Target="https://www.usaspending.gov/award/CONT_AWD_70B02C24F00000799_7014_70B03C23D00000006_7014" TargetMode="External"/><Relationship Id="rId98" Type="http://schemas.openxmlformats.org/officeDocument/2006/relationships/hyperlink" Target="https://www.usaspending.gov/award/CONT_AWD_70CMSD25P00000018_7012_-NONE-_-NONE-" TargetMode="External"/><Relationship Id="rId121" Type="http://schemas.openxmlformats.org/officeDocument/2006/relationships/hyperlink" Target="https://www.usaspending.gov/award/CONT_AWD_70CMSD25FR0000155_7012_NNG15SD19B_8000" TargetMode="External"/><Relationship Id="rId163" Type="http://schemas.openxmlformats.org/officeDocument/2006/relationships/hyperlink" Target="https://www.usaspending.gov/award/CONT_AWD_70CMSD23P00000021_7012_-NONE-_-NONE-" TargetMode="External"/><Relationship Id="rId219" Type="http://schemas.openxmlformats.org/officeDocument/2006/relationships/hyperlink" Target="https://www.usaspending.gov/award/CONT_AWD_70B02C25P00000442_7014_-NONE-_-NONE-" TargetMode="External"/><Relationship Id="rId370" Type="http://schemas.openxmlformats.org/officeDocument/2006/relationships/hyperlink" Target="https://www.usaspending.gov/award/CONT_AWD_70CMSW23FR0000118_7012_70B03C23D00000006_7014" TargetMode="External"/><Relationship Id="rId426" Type="http://schemas.openxmlformats.org/officeDocument/2006/relationships/hyperlink" Target="https://risk.lexisnexis.com/insights-resources/infographic/accurint-trax-featuring-viper" TargetMode="External"/><Relationship Id="rId230" Type="http://schemas.openxmlformats.org/officeDocument/2006/relationships/hyperlink" Target="https://www.usaspending.gov/award/CONT_AWD_70CMSD25FR0000085_7012_NNG15SC82B_8000" TargetMode="External"/><Relationship Id="rId25" Type="http://schemas.openxmlformats.org/officeDocument/2006/relationships/hyperlink" Target="https://www.usaspending.gov/award/CONT_IDV_70CDCR26D00000012_7012" TargetMode="External"/><Relationship Id="rId67" Type="http://schemas.openxmlformats.org/officeDocument/2006/relationships/hyperlink" Target="https://www.usaspending.gov/award/CONT_AWD_70CMSD24FR0000182_7012_HSHQDC13D00026_7001" TargetMode="External"/><Relationship Id="rId272" Type="http://schemas.openxmlformats.org/officeDocument/2006/relationships/hyperlink" Target="https://www.usaspending.gov/award/CONT_AWD_70US0926F1DHS2558_7009_70US0923D70092056_7009" TargetMode="External"/><Relationship Id="rId328" Type="http://schemas.openxmlformats.org/officeDocument/2006/relationships/hyperlink" Target="https://www.usaspending.gov/award/CONT_AWD_70CMSD25FC0000031_7012_70B02C24A00000030_7014" TargetMode="External"/><Relationship Id="rId132" Type="http://schemas.openxmlformats.org/officeDocument/2006/relationships/hyperlink" Target="https://www.usaspending.gov/award/CONT_AWD_70CMSD25P00000110_7012_-NONE-_-NONE-" TargetMode="External"/><Relationship Id="rId174" Type="http://schemas.openxmlformats.org/officeDocument/2006/relationships/hyperlink" Target="https://www.usaspending.gov/award/CONT_AWD_70CTD025P00000004_7012_-NONE-_-NONE-" TargetMode="External"/><Relationship Id="rId381" Type="http://schemas.openxmlformats.org/officeDocument/2006/relationships/hyperlink" Target="https://www.usaspending.gov/award/CONT_AWD_70B04C21F00001094_7014_HSHQDC13D00024_7001" TargetMode="External"/><Relationship Id="rId241" Type="http://schemas.openxmlformats.org/officeDocument/2006/relationships/hyperlink" Target="https://www.usaspending.gov/award/CONT_AWD_70CMSD21FR0000106_7012_HSHQDC13D00025_7001" TargetMode="External"/><Relationship Id="rId437" Type="http://schemas.openxmlformats.org/officeDocument/2006/relationships/hyperlink" Target="https://techinquiry.org/?text=70CMSD24FR0000115&amp;guard=" TargetMode="External"/><Relationship Id="rId36" Type="http://schemas.openxmlformats.org/officeDocument/2006/relationships/hyperlink" Target="https://www.usaspending.gov/award/CONT_AWD_70US0921P70090054_7009_-NONE-_-NONE-" TargetMode="External"/><Relationship Id="rId283" Type="http://schemas.openxmlformats.org/officeDocument/2006/relationships/hyperlink" Target="https://www.usaspending.gov/award/CONT_AWD_70B03C23F00000642_7014_70B02C22A00000007_7014" TargetMode="External"/><Relationship Id="rId339" Type="http://schemas.openxmlformats.org/officeDocument/2006/relationships/hyperlink" Target="https://www.usaspending.gov/award/CONT_AWD_70B02C25F00000449_7014_70B02C24A00000030_7014" TargetMode="External"/><Relationship Id="rId78" Type="http://schemas.openxmlformats.org/officeDocument/2006/relationships/hyperlink" Target="https://www.usaspending.gov/award/CONT_AWD_70B03C21F00001342_7014_HSHQDC13D00002_7001" TargetMode="External"/><Relationship Id="rId101" Type="http://schemas.openxmlformats.org/officeDocument/2006/relationships/hyperlink" Target="https://www.usaspending.gov/award/CONT_AWD_70B03C24P00000341_7014_-NONE-_-NONE-" TargetMode="External"/><Relationship Id="rId143" Type="http://schemas.openxmlformats.org/officeDocument/2006/relationships/hyperlink" Target="https://www.usaspending.gov/award/CONT_AWD_70RDAD23FR0000023_7001_70RTAC21D00000006_7001" TargetMode="External"/><Relationship Id="rId185" Type="http://schemas.openxmlformats.org/officeDocument/2006/relationships/hyperlink" Target="https://www.usaspending.gov/award/CONT_AWD_70CMSW25FR0000123_7012_NNG15SD76B_8000" TargetMode="External"/><Relationship Id="rId350" Type="http://schemas.openxmlformats.org/officeDocument/2006/relationships/hyperlink" Target="https://www.usaspending.gov/award/CONT_AWD_70B02C26F00000450_7014_70B03C23D00000006_7014" TargetMode="External"/><Relationship Id="rId406" Type="http://schemas.openxmlformats.org/officeDocument/2006/relationships/hyperlink" Target="https://www.unmannedsystemstechnology.com/2026/04/robinson-helicopter-company-launches-unmanned-business-unit-to-scale-autonomous-aviation-vertical-lift/" TargetMode="External"/><Relationship Id="rId9" Type="http://schemas.openxmlformats.org/officeDocument/2006/relationships/hyperlink" Target="https://www.usaspending.gov/award/CONT_AWD_70US0924P70092655_7009_-NONE-_-NONE-" TargetMode="External"/><Relationship Id="rId210" Type="http://schemas.openxmlformats.org/officeDocument/2006/relationships/hyperlink" Target="https://www.usaspending.gov/award/CONT_AWD_70US0924C70093947_7009_-NONE-_-NONE-" TargetMode="External"/><Relationship Id="rId392" Type="http://schemas.openxmlformats.org/officeDocument/2006/relationships/hyperlink" Target="https://www.usaspending.gov/award/CONT_AWD_70CTD026FC0000018_7012_70RTAC26A00000001_7001" TargetMode="External"/><Relationship Id="rId252" Type="http://schemas.openxmlformats.org/officeDocument/2006/relationships/hyperlink" Target="https://www.usaspending.gov/award/CONT_AWD_70CTD026FR0000014_7012_75N98119D00004_7529" TargetMode="External"/><Relationship Id="rId294" Type="http://schemas.openxmlformats.org/officeDocument/2006/relationships/hyperlink" Target="https://www.usaspending.gov/award/CONT_AWD_70CMSD22FC0000047_7012_70B02C22A00000007_7014" TargetMode="External"/><Relationship Id="rId308" Type="http://schemas.openxmlformats.org/officeDocument/2006/relationships/hyperlink" Target="https://www.usaspending.gov/award/CONT_AWD_70B06C23F00001291_7014_70B02C22A00000001_7014" TargetMode="External"/><Relationship Id="rId47" Type="http://schemas.openxmlformats.org/officeDocument/2006/relationships/hyperlink" Target="https://www.usaspending.gov/award/CONT_AWD_70CMSD25FR0000110_7012_NNG15SC92B_8000" TargetMode="External"/><Relationship Id="rId89" Type="http://schemas.openxmlformats.org/officeDocument/2006/relationships/hyperlink" Target="https://www.usaspending.gov/award/CONT_AWD_70CMSD22P00000108_7012_-NONE-_-NONE-" TargetMode="External"/><Relationship Id="rId112" Type="http://schemas.openxmlformats.org/officeDocument/2006/relationships/hyperlink" Target="https://www.usaspending.gov/award/CONT_AWD_70CMSD24FR0000038_7012_HSHQDC12D00011_7001" TargetMode="External"/><Relationship Id="rId154" Type="http://schemas.openxmlformats.org/officeDocument/2006/relationships/hyperlink" Target="https://www.usaspending.gov/award/CONT_AWD_70CMSD25P00000096_7012_-NONE-_-NONE-" TargetMode="External"/><Relationship Id="rId361" Type="http://schemas.openxmlformats.org/officeDocument/2006/relationships/hyperlink" Target="https://www.usaspending.gov/award/CONT_AWD_70B02C24F00000649_7014_70B03C23D00000006_7014" TargetMode="External"/><Relationship Id="rId196" Type="http://schemas.openxmlformats.org/officeDocument/2006/relationships/hyperlink" Target="https://www.usaspending.gov/award/CONT_IDV_70US0924D70092068_7009" TargetMode="External"/><Relationship Id="rId417" Type="http://schemas.openxmlformats.org/officeDocument/2006/relationships/hyperlink" Target="https://www.dhs.gov/publication/dhsobimpia-004-homeland-advanced-recognition-technology-system-hart-increment-1" TargetMode="External"/><Relationship Id="rId16" Type="http://schemas.openxmlformats.org/officeDocument/2006/relationships/hyperlink" Target="https://www.usaspending.gov/award/CONT_IDV_70CDCR26D00000003_7012" TargetMode="External"/><Relationship Id="rId221" Type="http://schemas.openxmlformats.org/officeDocument/2006/relationships/hyperlink" Target="https://www.usaspending.gov/award/CONT_AWD_70US0921P70090106_7009_-NONE-_-NONE-" TargetMode="External"/><Relationship Id="rId263" Type="http://schemas.openxmlformats.org/officeDocument/2006/relationships/hyperlink" Target="https://www.usaspending.gov/award/CONT_AWD_70B03C25P00000380_7014_-NONE-_-NONE-" TargetMode="External"/><Relationship Id="rId319" Type="http://schemas.openxmlformats.org/officeDocument/2006/relationships/hyperlink" Target="https://www.usaspending.gov/award/CONT_AWD_70CMSD22FC0000013_7012_70B02C22A00000001_7014" TargetMode="External"/><Relationship Id="rId58" Type="http://schemas.openxmlformats.org/officeDocument/2006/relationships/hyperlink" Target="https://www.usaspending.gov/award/CONT_AWD_70RDA124FR0000005_7001_47QTCK18D0003_4732" TargetMode="External"/><Relationship Id="rId123" Type="http://schemas.openxmlformats.org/officeDocument/2006/relationships/hyperlink" Target="https://www.usaspending.gov/award/CONT_AWD_70CMSD23P00000129_7012_-NONE-_-NONE-" TargetMode="External"/><Relationship Id="rId330" Type="http://schemas.openxmlformats.org/officeDocument/2006/relationships/hyperlink" Target="https://www.usaspending.gov/award/CONT_AWD_70B02C25F00000658_7014_70B02C24A00000030_7014" TargetMode="External"/><Relationship Id="rId165" Type="http://schemas.openxmlformats.org/officeDocument/2006/relationships/hyperlink" Target="https://www.usaspending.gov/award/CONT_AWD_70US0922C70092348_7009_-NONE-_-NONE-" TargetMode="External"/><Relationship Id="rId372" Type="http://schemas.openxmlformats.org/officeDocument/2006/relationships/hyperlink" Target="https://www.usaspending.gov/award/CONT_AWD_70B02C23F00001075_7014_70B03C23D00000006_7014" TargetMode="External"/><Relationship Id="rId428" Type="http://schemas.openxmlformats.org/officeDocument/2006/relationships/hyperlink" Target="https://micahflee.github.io/ice-contracts/?search=airport&amp;minYear=2025&amp;modalType=contract&amp;modalAwardId=1459" TargetMode="External"/><Relationship Id="rId232" Type="http://schemas.openxmlformats.org/officeDocument/2006/relationships/hyperlink" Target="https://www.usaspending.gov/award/CONT_AWD_70CMSD25P00000009_7012_-NONE-_-NONE-" TargetMode="External"/><Relationship Id="rId274" Type="http://schemas.openxmlformats.org/officeDocument/2006/relationships/hyperlink" Target="https://www.usaspending.gov/award/CONT_AWD_70US0926P70092779_7009_-NONE-_-NONE-" TargetMode="External"/><Relationship Id="rId27" Type="http://schemas.openxmlformats.org/officeDocument/2006/relationships/hyperlink" Target="https://www.usaspending.gov/award/CONT_IDV_70CDCR26D00000013_7012" TargetMode="External"/><Relationship Id="rId69" Type="http://schemas.openxmlformats.org/officeDocument/2006/relationships/hyperlink" Target="https://www.usaspending.gov/award/CONT_AWD_70CMSD23FR0000145_7012_NNG15SD02B_8000" TargetMode="External"/><Relationship Id="rId134" Type="http://schemas.openxmlformats.org/officeDocument/2006/relationships/hyperlink" Target="https://www.usaspending.gov/award/CONT_AWD_70US0921C70090065_7009_-NONE-_-NONE-" TargetMode="External"/><Relationship Id="rId80" Type="http://schemas.openxmlformats.org/officeDocument/2006/relationships/hyperlink" Target="https://www.usaspending.gov/award/CONT_AWD_70B02C22P00000542_7014_-NONE-_-NONE-" TargetMode="External"/><Relationship Id="rId176" Type="http://schemas.openxmlformats.org/officeDocument/2006/relationships/hyperlink" Target="https://www.usaspending.gov/award/CONT_AWD_70B04C24F00000090_7014_03310323D0035_0300" TargetMode="External"/><Relationship Id="rId341" Type="http://schemas.openxmlformats.org/officeDocument/2006/relationships/hyperlink" Target="https://www.usaspending.gov/award/CONT_AWD_70B02C25F00000403_7014_70B02C24A00000030_7014" TargetMode="External"/><Relationship Id="rId383" Type="http://schemas.openxmlformats.org/officeDocument/2006/relationships/hyperlink" Target="https://www.usaspending.gov/award/CONT_AWD_70B01C23F00000730_7014_70B03C20A00000017_7014" TargetMode="External"/><Relationship Id="rId439" Type="http://schemas.openxmlformats.org/officeDocument/2006/relationships/hyperlink" Target="https://www.documentcloud.org/documents/26194326-2025-zignal-executive-summary/" TargetMode="External"/><Relationship Id="rId201" Type="http://schemas.openxmlformats.org/officeDocument/2006/relationships/hyperlink" Target="https://www.usaspending.gov/award/CONT_AWD_70CMSW26FR0000017_7012_47QTCA23D00DN_4732" TargetMode="External"/><Relationship Id="rId243" Type="http://schemas.openxmlformats.org/officeDocument/2006/relationships/hyperlink" Target="https://www.usaspending.gov/award/CONT_AWD_70B02C22C00000016_7014_-NONE-_-NONE-" TargetMode="External"/><Relationship Id="rId285" Type="http://schemas.openxmlformats.org/officeDocument/2006/relationships/hyperlink" Target="https://www.usaspending.gov/award/CONT_AWD_70B02C22F00000944_7014_70B02C22A00000007_7014" TargetMode="External"/><Relationship Id="rId38" Type="http://schemas.openxmlformats.org/officeDocument/2006/relationships/hyperlink" Target="https://www.usaspending.gov/award/CONT_AWD_70CMSD25FR0000097_7012_NNG15SD02B_8000" TargetMode="External"/><Relationship Id="rId103" Type="http://schemas.openxmlformats.org/officeDocument/2006/relationships/hyperlink" Target="https://www.usaspending.gov/award/CONT_IDV_70B06C22D00000009_7014" TargetMode="External"/><Relationship Id="rId310" Type="http://schemas.openxmlformats.org/officeDocument/2006/relationships/hyperlink" Target="https://www.usaspending.gov/award/CONT_AWD_70B03C23F00000407_7014_70B02C22A00000001_7014" TargetMode="External"/><Relationship Id="rId91" Type="http://schemas.openxmlformats.org/officeDocument/2006/relationships/hyperlink" Target="https://www.usaspending.gov/award/CONT_AWD_70CTD023FR0000063_7012_HSHQDC12D00011_7001" TargetMode="External"/><Relationship Id="rId145" Type="http://schemas.openxmlformats.org/officeDocument/2006/relationships/hyperlink" Target="https://www.usaspending.gov/award/CONT_AWD_70RDA125FR0000001_7001_HHSN316201300001W_7529" TargetMode="External"/><Relationship Id="rId187" Type="http://schemas.openxmlformats.org/officeDocument/2006/relationships/hyperlink" Target="https://www.usaspending.gov/award/CONT_AWD_70CTD021FR0000108_7012_HSHQDC13D00012_7001" TargetMode="External"/><Relationship Id="rId352" Type="http://schemas.openxmlformats.org/officeDocument/2006/relationships/hyperlink" Target="https://www.usaspending.gov/award/CONT_AWD_70B02C26F00000155_7014_70B03C23D00000006_7014" TargetMode="External"/><Relationship Id="rId394" Type="http://schemas.openxmlformats.org/officeDocument/2006/relationships/hyperlink" Target="https://www.usaspending.gov/award/CONT_AWD_70US0926F2GSA2328_7009_70RTAC26A00000001_7001" TargetMode="External"/><Relationship Id="rId408" Type="http://schemas.openxmlformats.org/officeDocument/2006/relationships/hyperlink" Target="https://www.404media.co/dhs-plans-to-buy-more-predator-style-drones/;%20https:/sam.gov/workspace/contract/opp/7a9d4026b5044e16a5a7665ada5a67fd/view" TargetMode="External"/><Relationship Id="rId212" Type="http://schemas.openxmlformats.org/officeDocument/2006/relationships/hyperlink" Target="https://www.usaspending.gov/award/CONT_AWD_70B03C24P00000281_7014_-NONE-_-NONE-" TargetMode="External"/><Relationship Id="rId254" Type="http://schemas.openxmlformats.org/officeDocument/2006/relationships/hyperlink" Target="https://www.usaspending.gov/award/CONT_AWD_70CTD023FR0000075_7012_HSHQDC13D00023_7001" TargetMode="External"/><Relationship Id="rId49" Type="http://schemas.openxmlformats.org/officeDocument/2006/relationships/hyperlink" Target="https://www.usaspending.gov/award/CONT_AWD_70CMSD22FR0000130_7012_HSHQDC12D00013_7001" TargetMode="External"/><Relationship Id="rId114" Type="http://schemas.openxmlformats.org/officeDocument/2006/relationships/hyperlink" Target="https://www.usaspending.gov/award/CONT_AWD_70US0922F1DHS2096_7009_HSHQDC13D00022_7001" TargetMode="External"/><Relationship Id="rId296" Type="http://schemas.openxmlformats.org/officeDocument/2006/relationships/hyperlink" Target="https://www.usaspending.gov/award/CONT_AWD_70CMSD22FC0000020_7012_70B02C22A00000007_7014" TargetMode="External"/><Relationship Id="rId60" Type="http://schemas.openxmlformats.org/officeDocument/2006/relationships/hyperlink" Target="https://www.usaspending.gov/award/CONT_IDV_70US0921D70090003_7009" TargetMode="External"/><Relationship Id="rId156" Type="http://schemas.openxmlformats.org/officeDocument/2006/relationships/hyperlink" Target="https://www.usaspending.gov/award/CONT_AWD_70RDAD23C00000012_7001_-NONE-_-NONE-" TargetMode="External"/><Relationship Id="rId198" Type="http://schemas.openxmlformats.org/officeDocument/2006/relationships/hyperlink" Target="https://www.usaspending.gov/award/CONT_AWD_70B03C26P00000037_7014_-NONE-_-NONE-" TargetMode="External"/><Relationship Id="rId321" Type="http://schemas.openxmlformats.org/officeDocument/2006/relationships/hyperlink" Target="https://www.usaspending.gov/award/CONT_AWD_70B02C26F00000166_7014_70B02C24A00000030_7014" TargetMode="External"/><Relationship Id="rId363" Type="http://schemas.openxmlformats.org/officeDocument/2006/relationships/hyperlink" Target="https://www.usaspending.gov/award/CONT_AWD_70B02C24F00000345_7014_70B03C23D00000006_7014" TargetMode="External"/><Relationship Id="rId419" Type="http://schemas.openxmlformats.org/officeDocument/2006/relationships/hyperlink" Target="https://www.vice.com/en/article/fbi-bought-netflow-data-team-cymru-contract/" TargetMode="External"/><Relationship Id="rId202" Type="http://schemas.openxmlformats.org/officeDocument/2006/relationships/hyperlink" Target="https://www.usaspending.gov/award/CONT_AWD_70US0926F2GSA2288_7009_GS00F178DA_4732" TargetMode="External"/><Relationship Id="rId223" Type="http://schemas.openxmlformats.org/officeDocument/2006/relationships/hyperlink" Target="https://www.usaspending.gov/award/CONT_AWD_70US0922C70092253_7009_-NONE-_-NONE-" TargetMode="External"/><Relationship Id="rId244" Type="http://schemas.openxmlformats.org/officeDocument/2006/relationships/hyperlink" Target="https://www.usaspending.gov/award/CONT_AWD_70B02C18C00000040_7014_-NONE-_-NONE-" TargetMode="External"/><Relationship Id="rId430" Type="http://schemas.openxmlformats.org/officeDocument/2006/relationships/hyperlink" Target="https://www.brennancenter.org/our-work/research-reports/timeline-social-media-monitoring-vetting-department-homeland-security-and" TargetMode="External"/><Relationship Id="rId18" Type="http://schemas.openxmlformats.org/officeDocument/2006/relationships/hyperlink" Target="https://www.usaspending.gov/award/CONT_AWD_70CDCR26C00000001_7012_-NONE-_-NONE-" TargetMode="External"/><Relationship Id="rId39" Type="http://schemas.openxmlformats.org/officeDocument/2006/relationships/hyperlink" Target="https://www.usaspending.gov/award/CONT_AWD_70CMSD25FR0000075_7012_NNG15SD02B_8000" TargetMode="External"/><Relationship Id="rId265" Type="http://schemas.openxmlformats.org/officeDocument/2006/relationships/hyperlink" Target="https://www.usaspending.gov/award/CONT_AWD_70B03C22F00001226_7014_HSHQDC13D00026_7001" TargetMode="External"/><Relationship Id="rId286" Type="http://schemas.openxmlformats.org/officeDocument/2006/relationships/hyperlink" Target="https://www.usaspending.gov/award/CONT_AWD_70CMSD22FC0000055_7012_70B02C22A00000007_7014" TargetMode="External"/><Relationship Id="rId50" Type="http://schemas.openxmlformats.org/officeDocument/2006/relationships/hyperlink" Target="https://www.usaspending.gov/award/CONT_AWD_70CMSD21FR0000107_7012_HSHQDC12D00013_7001" TargetMode="External"/><Relationship Id="rId104" Type="http://schemas.openxmlformats.org/officeDocument/2006/relationships/hyperlink" Target="https://www.usaspending.gov/award/CONT_AWD_70CMSD21FR0000069_7012_NNG15SD02B_8000" TargetMode="External"/><Relationship Id="rId125" Type="http://schemas.openxmlformats.org/officeDocument/2006/relationships/hyperlink" Target="https://www.usaspending.gov/award/CONT_AWD_70CMSD24P00000127_7012_-NONE-_-NONE-" TargetMode="External"/><Relationship Id="rId146" Type="http://schemas.openxmlformats.org/officeDocument/2006/relationships/hyperlink" Target="https://www.usaspending.gov/award/CONT_AWD_70B03C24F00000708_7014_HSHQDC12D00013_7001" TargetMode="External"/><Relationship Id="rId167" Type="http://schemas.openxmlformats.org/officeDocument/2006/relationships/hyperlink" Target="https://www.usaspending.gov/award/CONT_IDV_70CDCR26D00000017_7012" TargetMode="External"/><Relationship Id="rId188" Type="http://schemas.openxmlformats.org/officeDocument/2006/relationships/hyperlink" Target="https://www.usaspending.gov/award/CONT_AWD_70CTD022FR0000009_7012_GS35F0560W_4730" TargetMode="External"/><Relationship Id="rId311" Type="http://schemas.openxmlformats.org/officeDocument/2006/relationships/hyperlink" Target="https://www.usaspending.gov/award/CONT_AWD_70B02C22F00001159_7014_70B02C22A00000001_7014" TargetMode="External"/><Relationship Id="rId332" Type="http://schemas.openxmlformats.org/officeDocument/2006/relationships/hyperlink" Target="https://www.usaspending.gov/award/CONT_AWD_70B03C25F00000924_7014_70B02C24A00000030_7014" TargetMode="External"/><Relationship Id="rId353" Type="http://schemas.openxmlformats.org/officeDocument/2006/relationships/hyperlink" Target="https://www.usaspending.gov/award/CONT_AWD_70B02C26F00000038_7014_70B03C23D00000006_7014%2070B02C26F00000038" TargetMode="External"/><Relationship Id="rId374" Type="http://schemas.openxmlformats.org/officeDocument/2006/relationships/hyperlink" Target="https://www.usaspending.gov/award/CONT_AWD_70B02C23F00000828_7014_70B03C23D00000006_7014" TargetMode="External"/><Relationship Id="rId395" Type="http://schemas.openxmlformats.org/officeDocument/2006/relationships/hyperlink" Target="https://www.usaspending.gov/award/CONT_AWD_70US0925F2GSA2254_7009_47QMCA19D0014_4732" TargetMode="External"/><Relationship Id="rId409" Type="http://schemas.openxmlformats.org/officeDocument/2006/relationships/hyperlink" Target="https://getdataforensics.com/product/forensic-explorer-fex/" TargetMode="External"/><Relationship Id="rId71" Type="http://schemas.openxmlformats.org/officeDocument/2006/relationships/hyperlink" Target="https://www.usaspending.gov/award/CONT_AWD_70B03C22F00001110_7014_HSHQDC12D00013_7001" TargetMode="External"/><Relationship Id="rId92" Type="http://schemas.openxmlformats.org/officeDocument/2006/relationships/hyperlink" Target="https://www.usaspending.gov/award/CONT_AWD_70CMSD22FR0000156_7012_HSHQDC13D00020_7001" TargetMode="External"/><Relationship Id="rId213" Type="http://schemas.openxmlformats.org/officeDocument/2006/relationships/hyperlink" Target="https://www.usaspending.gov/award/CONT_AWD_70B03C24P00000561_7014_-NONE-_-NONE-" TargetMode="External"/><Relationship Id="rId234" Type="http://schemas.openxmlformats.org/officeDocument/2006/relationships/hyperlink" Target="https://www.usaspending.gov/award/CONT_AWD_70US0922P70090023_7009_-NONE-_-NONE-" TargetMode="External"/><Relationship Id="rId420" Type="http://schemas.openxmlformats.org/officeDocument/2006/relationships/hyperlink" Target="https://x-ways.net/winhex/" TargetMode="External"/><Relationship Id="rId2" Type="http://schemas.openxmlformats.org/officeDocument/2006/relationships/hyperlink" Target="https://www.usaspending.gov/award/CONT_AWD_70CMSD25P00000138_7012_-NONE-_-NONE-" TargetMode="External"/><Relationship Id="rId29" Type="http://schemas.openxmlformats.org/officeDocument/2006/relationships/hyperlink" Target="https://www.usaspending.gov/award/CONT_AWD_70RCSA20C00000006_7001_-NONE-_-NONE-" TargetMode="External"/><Relationship Id="rId255" Type="http://schemas.openxmlformats.org/officeDocument/2006/relationships/hyperlink" Target="https://www.usaspending.gov/award/CONT_AWD_70CTD026C00000006_7012_-NONE-_-NONE-" TargetMode="External"/><Relationship Id="rId276" Type="http://schemas.openxmlformats.org/officeDocument/2006/relationships/hyperlink" Target="https://www.usaspending.gov/award/CONT_AWD_70CMSD22P00000066_7012_-NONE-_-NONE-" TargetMode="External"/><Relationship Id="rId297" Type="http://schemas.openxmlformats.org/officeDocument/2006/relationships/hyperlink" Target="https://www.usaspending.gov/award/CONT_AWD_70B03C22F00000566_7014_70B02C22A00000007_7014" TargetMode="External"/><Relationship Id="rId441" Type="http://schemas.openxmlformats.org/officeDocument/2006/relationships/hyperlink" Target="https://www.documentcloud.org/documents/28508809-ice-wide-analytical-tools/?ref=404media.co" TargetMode="External"/><Relationship Id="rId40" Type="http://schemas.openxmlformats.org/officeDocument/2006/relationships/hyperlink" Target="https://www.usaspending.gov/award/CONT_AWD_70CMSD24FR0000084_7012_HSHQDC12D00013_7001" TargetMode="External"/><Relationship Id="rId115" Type="http://schemas.openxmlformats.org/officeDocument/2006/relationships/hyperlink" Target="https://www.usaspending.gov/award/CONT_AWD_70US0923P70092266_7009_-NONE-_-NONE-" TargetMode="External"/><Relationship Id="rId136" Type="http://schemas.openxmlformats.org/officeDocument/2006/relationships/hyperlink" Target="https://www.usaspending.gov/award/CONT_AWD_70B04C25P00000018_7014_-NONE-_-NONE-" TargetMode="External"/><Relationship Id="rId157" Type="http://schemas.openxmlformats.org/officeDocument/2006/relationships/hyperlink" Target="https://www.usaspending.gov/award/CONT_AWD_70B03C22F00001238_7014_HSHQDC12D00013_7001" TargetMode="External"/><Relationship Id="rId178" Type="http://schemas.openxmlformats.org/officeDocument/2006/relationships/hyperlink" Target="https://www.usaspending.gov/award/CONT_AWD_70RFP326FREH00002_7001_03310319D0028_0300" TargetMode="External"/><Relationship Id="rId301" Type="http://schemas.openxmlformats.org/officeDocument/2006/relationships/hyperlink" Target="https://www.usaspending.gov/award/CONT_AWD_70B03C25F00000307_7014_70B02C22A00000001_7014" TargetMode="External"/><Relationship Id="rId322" Type="http://schemas.openxmlformats.org/officeDocument/2006/relationships/hyperlink" Target="https://www.usaspending.gov/award/CONT_AWD_70B03C25F00001308_7014_70B02C24A00000030_7014" TargetMode="External"/><Relationship Id="rId343" Type="http://schemas.openxmlformats.org/officeDocument/2006/relationships/hyperlink" Target="https://www.usaspending.gov/award/CONT_AWD_70B02C25F00000282_7014_70B02C24A00000030_7014" TargetMode="External"/><Relationship Id="rId364" Type="http://schemas.openxmlformats.org/officeDocument/2006/relationships/hyperlink" Target="https://www.usaspending.gov/award/CONT_AWD_70B02C24F00000424_7014_70B03C23D00000006_7014" TargetMode="External"/><Relationship Id="rId61" Type="http://schemas.openxmlformats.org/officeDocument/2006/relationships/hyperlink" Target="https://www.usaspending.gov/award/CONT_IDV_70CDCR26D00000005_7012" TargetMode="External"/><Relationship Id="rId82" Type="http://schemas.openxmlformats.org/officeDocument/2006/relationships/hyperlink" Target="https://www.usaspending.gov/award/CONT_AWD_70B06C22F00001359_7014_GS35F494GA_4732" TargetMode="External"/><Relationship Id="rId199" Type="http://schemas.openxmlformats.org/officeDocument/2006/relationships/hyperlink" Target="https://www.usaspending.gov/award/CONT_AWD_70US0926P70092719_7009_-NONE-_-NONE-" TargetMode="External"/><Relationship Id="rId203" Type="http://schemas.openxmlformats.org/officeDocument/2006/relationships/hyperlink" Target="https://www.usaspending.gov/award/CONT_AWD_70US0926C70094384_7009_-NONE-_-NONE-" TargetMode="External"/><Relationship Id="rId385" Type="http://schemas.openxmlformats.org/officeDocument/2006/relationships/hyperlink" Target="https://www.usaspending.gov/award/CONT_AWD_70B01C25F00000271_7014_70B01C24A00000028_7014" TargetMode="External"/><Relationship Id="rId19" Type="http://schemas.openxmlformats.org/officeDocument/2006/relationships/hyperlink" Target="https://www.usaspending.gov/award/CONT_IDV_70CDCR26D00000021_7012" TargetMode="External"/><Relationship Id="rId224" Type="http://schemas.openxmlformats.org/officeDocument/2006/relationships/hyperlink" Target="https://www.usaspending.gov/award/CONT_AWD_70US0922C70092212_7009_-NONE-_-NONE-" TargetMode="External"/><Relationship Id="rId245" Type="http://schemas.openxmlformats.org/officeDocument/2006/relationships/hyperlink" Target="https://www.usaspending.gov/award/CONT_AWD_HSBP1013C00006_7014_-NONE-_-NONE-" TargetMode="External"/><Relationship Id="rId266" Type="http://schemas.openxmlformats.org/officeDocument/2006/relationships/hyperlink" Target="https://www.usaspending.gov/award/CONT_AWD_70CMSD25FR0000060_7012_NNG15SC92B_8000" TargetMode="External"/><Relationship Id="rId287" Type="http://schemas.openxmlformats.org/officeDocument/2006/relationships/hyperlink" Target="https://www.usaspending.gov/award/CONT_AWD_70B02C22F00001259_7014_70B02C22A00000007_7014" TargetMode="External"/><Relationship Id="rId410" Type="http://schemas.openxmlformats.org/officeDocument/2006/relationships/hyperlink" Target="https://www.intelligenceonline.com/americas/2026/04/22/ice-buys-forensic-analysis-software-for-investigations,110709003-eve" TargetMode="External"/><Relationship Id="rId431" Type="http://schemas.openxmlformats.org/officeDocument/2006/relationships/hyperlink" Target="https://investigate.afsc.org/company/science-applications-intl" TargetMode="External"/><Relationship Id="rId30" Type="http://schemas.openxmlformats.org/officeDocument/2006/relationships/hyperlink" Target="https://www.usaspending.gov/award/CONT_AWD_70US0921C70090075_7009_-NONE-_-NONE-" TargetMode="External"/><Relationship Id="rId105" Type="http://schemas.openxmlformats.org/officeDocument/2006/relationships/hyperlink" Target="https://www.usaspending.gov/award/CONT_AWD_70US0925C70093992_7009_-NONE-_-NONE-" TargetMode="External"/><Relationship Id="rId126" Type="http://schemas.openxmlformats.org/officeDocument/2006/relationships/hyperlink" Target="https://www.usaspending.gov/award/CONT_AWD_70B03C25P00000261_7014_-NONE-_-NONE-" TargetMode="External"/><Relationship Id="rId147" Type="http://schemas.openxmlformats.org/officeDocument/2006/relationships/hyperlink" Target="https://www.usaspending.gov/award/CONT_AWD_70RSAT25C00000022_7001_-NONE-_-NONE-" TargetMode="External"/><Relationship Id="rId168" Type="http://schemas.openxmlformats.org/officeDocument/2006/relationships/hyperlink" Target="https://www.usaspending.gov/award/CONT_AWD_70B04C25P00000583_7014_-NONE-_-NONE-" TargetMode="External"/><Relationship Id="rId312" Type="http://schemas.openxmlformats.org/officeDocument/2006/relationships/hyperlink" Target="https://www.usaspending.gov/award/CONT_AWD_70B03C22F00001215_7014_70B02C22A00000001_7014" TargetMode="External"/><Relationship Id="rId333" Type="http://schemas.openxmlformats.org/officeDocument/2006/relationships/hyperlink" Target="https://www.usaspending.gov/award/CONT_AWD_70CMSD25FC0000027_7012_70B02C24A00000030_7014" TargetMode="External"/><Relationship Id="rId354" Type="http://schemas.openxmlformats.org/officeDocument/2006/relationships/hyperlink" Target="https://www.usaspending.gov/award/CONT_AWD_70B02C25F00001029_7014_70B03C23D00000006_7014" TargetMode="External"/><Relationship Id="rId51" Type="http://schemas.openxmlformats.org/officeDocument/2006/relationships/hyperlink" Target="https://www.usaspending.gov/award/CONT_AWD_70B03C22P00000077_7014_-NONE-_-NONE-" TargetMode="External"/><Relationship Id="rId72" Type="http://schemas.openxmlformats.org/officeDocument/2006/relationships/hyperlink" Target="https://www.usaspending.gov/award/CONT_AWD_70CTD024FR0000060_7012_HSHQDC13D00020_7001" TargetMode="External"/><Relationship Id="rId93" Type="http://schemas.openxmlformats.org/officeDocument/2006/relationships/hyperlink" Target="https://www.usaspending.gov/award/CONT_AWD_70CTD022FR0000089_7012_HSHQDC13D00019_7001" TargetMode="External"/><Relationship Id="rId189" Type="http://schemas.openxmlformats.org/officeDocument/2006/relationships/hyperlink" Target="https://www.usaspending.gov/award/CONT_AWD_70CTD021FR0000235_7012_GS35F443CA_4732" TargetMode="External"/><Relationship Id="rId375" Type="http://schemas.openxmlformats.org/officeDocument/2006/relationships/hyperlink" Target="https://www.usaspending.gov/award/CONT_AWD_70B02C23F00000628_7014_70B03C23D00000006_7014" TargetMode="External"/><Relationship Id="rId396" Type="http://schemas.openxmlformats.org/officeDocument/2006/relationships/hyperlink" Target="https://notechforice.com/wp-content/uploads/2026/06/Tech-Behind-ICE-Oligarchs-Immigration-Enforcement-and-the-Threat-to-Democracy.pdf" TargetMode="External"/><Relationship Id="rId3" Type="http://schemas.openxmlformats.org/officeDocument/2006/relationships/hyperlink" Target="https://www.usaspending.gov/award/CONT_AWD_70CMSD24FR0000115_7012_47QMCA19D0014_4732" TargetMode="External"/><Relationship Id="rId214" Type="http://schemas.openxmlformats.org/officeDocument/2006/relationships/hyperlink" Target="https://www.usaspending.gov/award/CONT_AWD_70B02C24P00000433_7014_-NONE-_-NONE-" TargetMode="External"/><Relationship Id="rId235" Type="http://schemas.openxmlformats.org/officeDocument/2006/relationships/hyperlink" Target="https://www.usaspending.gov/award/CONT_AWD_70US0921C70090032_7009_-NONE-_-NONE-" TargetMode="External"/><Relationship Id="rId256" Type="http://schemas.openxmlformats.org/officeDocument/2006/relationships/hyperlink" Target="https://sam.gov/workspace/contract/opp/3a3179e66c7e4d99ad80340ae213a751/view" TargetMode="External"/><Relationship Id="rId277" Type="http://schemas.openxmlformats.org/officeDocument/2006/relationships/hyperlink" Target="https://www.usaspending.gov/award/CONT_IDV_HSSCCG15D00021_7003" TargetMode="External"/><Relationship Id="rId298" Type="http://schemas.openxmlformats.org/officeDocument/2006/relationships/hyperlink" Target="https://www.usaspending.gov/award/CONT_AWD_70CMSD22FC0000011_7012_70B02C22A00000007_7014" TargetMode="External"/><Relationship Id="rId400" Type="http://schemas.openxmlformats.org/officeDocument/2006/relationships/hyperlink" Target="https://privacyinternational.org/news-analysis/2995/ice-paying-millions-surveillance-company-spy-peoples-communications" TargetMode="External"/><Relationship Id="rId421" Type="http://schemas.openxmlformats.org/officeDocument/2006/relationships/hyperlink" Target="https://www.authentic8.com/" TargetMode="External"/><Relationship Id="rId442" Type="http://schemas.openxmlformats.org/officeDocument/2006/relationships/hyperlink" Target="https://www.usaspending.gov/award/CONT_AWD_70CMSD21FR0000192_7012_70RSAT20D00000001_7001" TargetMode="External"/><Relationship Id="rId116" Type="http://schemas.openxmlformats.org/officeDocument/2006/relationships/hyperlink" Target="https://www.usaspending.gov/award/CONT_AWD_70CMSD23FR0000111_7012_HSHQDC13D00019_7001" TargetMode="External"/><Relationship Id="rId137" Type="http://schemas.openxmlformats.org/officeDocument/2006/relationships/hyperlink" Target="https://www.usaspending.gov/award/CONT_AWD_70B06C22F00000538_7014_FA254420D0001_9700" TargetMode="External"/><Relationship Id="rId158" Type="http://schemas.openxmlformats.org/officeDocument/2006/relationships/hyperlink" Target="https://www.usaspending.gov/award/CONT_AWD_70RDAD23FR0000077_7001_70RTAC21D00000006_7001" TargetMode="External"/><Relationship Id="rId302" Type="http://schemas.openxmlformats.org/officeDocument/2006/relationships/hyperlink" Target="https://www.usaspending.gov/award/CONT_AWD_70B02C25F00000228_7014_70B02C22A00000001_7014" TargetMode="External"/><Relationship Id="rId323" Type="http://schemas.openxmlformats.org/officeDocument/2006/relationships/hyperlink" Target="https://www.usaspending.gov/award/CONT_AWD_70B02C25F00000908_7014_70B02C24A00000030_7014" TargetMode="External"/><Relationship Id="rId344" Type="http://schemas.openxmlformats.org/officeDocument/2006/relationships/hyperlink" Target="https://www.usaspending.gov/award/CONT_AWD_70B03C25F00000193_7014_70B02C24A00000030_7014" TargetMode="External"/><Relationship Id="rId20" Type="http://schemas.openxmlformats.org/officeDocument/2006/relationships/hyperlink" Target="https://www.usaspending.gov/award/CONT_AWD_70CDCR26FR0000003_7012_GS23F0026U_4730" TargetMode="External"/><Relationship Id="rId41" Type="http://schemas.openxmlformats.org/officeDocument/2006/relationships/hyperlink" Target="https://www.usaspending.gov/award/CONT_AWD_70Z0G324FOIPL0034_7008_NNG15SD02B_8000" TargetMode="External"/><Relationship Id="rId62" Type="http://schemas.openxmlformats.org/officeDocument/2006/relationships/hyperlink" Target="https://www.usaspending.gov/award/CONT_IDV_70CMSD19D00000002_7012" TargetMode="External"/><Relationship Id="rId83" Type="http://schemas.openxmlformats.org/officeDocument/2006/relationships/hyperlink" Target="https://www.usaspending.gov/award/CONT_AWD_70CMSD25P00000146_7012_-NONE-_-NONE-" TargetMode="External"/><Relationship Id="rId179" Type="http://schemas.openxmlformats.org/officeDocument/2006/relationships/hyperlink" Target="https://www.usaspending.gov/award/CONT_AWD_70B04C23F00000043_7014_GS00F178DA_4732" TargetMode="External"/><Relationship Id="rId365" Type="http://schemas.openxmlformats.org/officeDocument/2006/relationships/hyperlink" Target="https://www.usaspending.gov/award/CONT_AWD_70B02C24F00000310_7014_70B03C23D00000006_7014" TargetMode="External"/><Relationship Id="rId386" Type="http://schemas.openxmlformats.org/officeDocument/2006/relationships/hyperlink" Target="https://www.usaspending.gov/award/CONT_AWD_70B01C25F00000450_7014_70B01C24A00000028_7014" TargetMode="External"/><Relationship Id="rId190" Type="http://schemas.openxmlformats.org/officeDocument/2006/relationships/hyperlink" Target="https://www.usaspending.gov/award/CONT_AWD_70RSAT25C00000021_7001_-NONE-_-NONE-" TargetMode="External"/><Relationship Id="rId204" Type="http://schemas.openxmlformats.org/officeDocument/2006/relationships/hyperlink" Target="https://www.fpds.gov/ezsearch/fpdsportal?indexName=awardfull&amp;templateName=1.5.3&amp;s=FPDS.GOV&amp;q=70CMSD24FR0000115&amp;x=0&amp;y=0" TargetMode="External"/><Relationship Id="rId225" Type="http://schemas.openxmlformats.org/officeDocument/2006/relationships/hyperlink" Target="https://www.usaspending.gov/award/CONT_AWD_70CMSD22P00000084_7012_-NONE-_-NONE-" TargetMode="External"/><Relationship Id="rId246" Type="http://schemas.openxmlformats.org/officeDocument/2006/relationships/hyperlink" Target="https://www.usaspending.gov/award/CONT_AWD_70CDCR26FR0000052_7012_70CDCR24D00000002_7012" TargetMode="External"/><Relationship Id="rId267" Type="http://schemas.openxmlformats.org/officeDocument/2006/relationships/hyperlink" Target="https://www.usaspending.gov/award/CONT_AWD_70B03C21F00001143_7014_HSHQDC13D00002_7001" TargetMode="External"/><Relationship Id="rId288" Type="http://schemas.openxmlformats.org/officeDocument/2006/relationships/hyperlink" Target="https://www.usaspending.gov/award/CONT_AWD_70B02C22F00001257_7014_70B02C22A00000007_7014" TargetMode="External"/><Relationship Id="rId411" Type="http://schemas.openxmlformats.org/officeDocument/2006/relationships/hyperlink" Target="https://prismreports.org/2026/04/29/dhs-surveillance-location-data-penlink-plx/" TargetMode="External"/><Relationship Id="rId432" Type="http://schemas.openxmlformats.org/officeDocument/2006/relationships/hyperlink" Target="https://techinquiry.org/?text=70CDCR18P00000017&amp;guard=" TargetMode="External"/><Relationship Id="rId106" Type="http://schemas.openxmlformats.org/officeDocument/2006/relationships/hyperlink" Target="https://www.usaspending.gov/award/CONT_AWD_70US0925F3OTH2698_7009_NNG15SD09B_8000" TargetMode="External"/><Relationship Id="rId127" Type="http://schemas.openxmlformats.org/officeDocument/2006/relationships/hyperlink" Target="https://www.usaspending.gov/award/CONT_AWD_70CMSD23C00000003_7012_-NONE-_-NONE-" TargetMode="External"/><Relationship Id="rId313" Type="http://schemas.openxmlformats.org/officeDocument/2006/relationships/hyperlink" Target="https://www.usaspending.gov/award/CONT_AWD_70B03C22F00001131_7014_70B02C22A00000001_7014" TargetMode="External"/><Relationship Id="rId10" Type="http://schemas.openxmlformats.org/officeDocument/2006/relationships/hyperlink" Target="https://www.usaspending.gov/award/CONT_AWD_70CTD022FR0000170_7012_GS35F0086U_4730" TargetMode="External"/><Relationship Id="rId31" Type="http://schemas.openxmlformats.org/officeDocument/2006/relationships/hyperlink" Target="https://www.usaspending.gov/award/CONT_AWD_70US0921C70090029_7009_-NONE-_-NONE-" TargetMode="External"/><Relationship Id="rId52" Type="http://schemas.openxmlformats.org/officeDocument/2006/relationships/hyperlink" Target="https://www.usaspending.gov/award/CONT_AWD_70CMSD25P00000141_7012_-NONE-_-NONE-" TargetMode="External"/><Relationship Id="rId73" Type="http://schemas.openxmlformats.org/officeDocument/2006/relationships/hyperlink" Target="https://www.usaspending.gov/award/CONT_AWD_70US0923F1DHS2585_7009_HSHQDC13D00020_7001" TargetMode="External"/><Relationship Id="rId94" Type="http://schemas.openxmlformats.org/officeDocument/2006/relationships/hyperlink" Target="https://www.usaspending.gov/award/CONT_AWD_70CMSD25FR0000118_7012_NNG15SC70B_8000" TargetMode="External"/><Relationship Id="rId148" Type="http://schemas.openxmlformats.org/officeDocument/2006/relationships/hyperlink" Target="https://www.usaspending.gov/award/CONT_AWD_70RSAT25C00000020_7001_-NONE-_-NONE-" TargetMode="External"/><Relationship Id="rId169" Type="http://schemas.openxmlformats.org/officeDocument/2006/relationships/hyperlink" Target="https://www.usaspending.gov/award/CONT_AWD_70CTD020P00000014_7012_-NONE-_-NONE-" TargetMode="External"/><Relationship Id="rId334" Type="http://schemas.openxmlformats.org/officeDocument/2006/relationships/hyperlink" Target="https://www.usaspending.gov/award/CONT_AWD_70B02C25F00000448_7014_70B02C24A00000030_7014" TargetMode="External"/><Relationship Id="rId355" Type="http://schemas.openxmlformats.org/officeDocument/2006/relationships/hyperlink" Target="https://www.usaspending.gov/award/CONT_AWD_70CMSW25FR0000080_7012_70B03C23D00000006_7014" TargetMode="External"/><Relationship Id="rId376" Type="http://schemas.openxmlformats.org/officeDocument/2006/relationships/hyperlink" Target="https://www.usaspending.gov/award/CONT_AWD_70B03C20C00000167_7014_-NONE-_-NONE-" TargetMode="External"/><Relationship Id="rId397" Type="http://schemas.openxmlformats.org/officeDocument/2006/relationships/hyperlink" Target="https://www.idemia-nss.com/livescan/" TargetMode="External"/><Relationship Id="rId4" Type="http://schemas.openxmlformats.org/officeDocument/2006/relationships/hyperlink" Target="https://www.usaspending.gov/award/CONT_AWD_70CMSD21C00000002_7012_-NONE-_-NONE-" TargetMode="External"/><Relationship Id="rId180" Type="http://schemas.openxmlformats.org/officeDocument/2006/relationships/hyperlink" Target="https://www.usaspending.gov/award/CONT_AWD_70SBUR23F00000278_7003_03310319D0028_0300" TargetMode="External"/><Relationship Id="rId215" Type="http://schemas.openxmlformats.org/officeDocument/2006/relationships/hyperlink" Target="https://www.usaspending.gov/award/CONT_AWD_70B02C24P00000541_7014_-NONE-_-NONE-" TargetMode="External"/><Relationship Id="rId236" Type="http://schemas.openxmlformats.org/officeDocument/2006/relationships/hyperlink" Target="https://www.usaspending.gov/award/CONT_AWD_70CMSD21FR0000033_7012_HSHQDC13D00025_7001" TargetMode="External"/><Relationship Id="rId257" Type="http://schemas.openxmlformats.org/officeDocument/2006/relationships/hyperlink" Target="https://www.usaspending.gov/award/CONT_AWD_70CTD026FR0000025_7012_NNG15SD90B_8000" TargetMode="External"/><Relationship Id="rId278" Type="http://schemas.openxmlformats.org/officeDocument/2006/relationships/hyperlink" Target="https://www.usaspending.gov/award/CONT_AWD_70SBUR23F00000008_7003_47QTCA22D00AB_4732" TargetMode="External"/><Relationship Id="rId401" Type="http://schemas.openxmlformats.org/officeDocument/2006/relationships/hyperlink" Target="https://aws.amazon.com/marketplace/pp/prodview-tpvg5fjwdxrz2" TargetMode="External"/><Relationship Id="rId422" Type="http://schemas.openxmlformats.org/officeDocument/2006/relationships/hyperlink" Target="https://www.oxygenforensics.com/resources/import-berla-ive/" TargetMode="External"/><Relationship Id="rId443" Type="http://schemas.openxmlformats.org/officeDocument/2006/relationships/hyperlink" Target="https://www.usaspending.gov/award/CONT_AWD_70CMSD25P00000049_7012_-NONE-_-NONE-" TargetMode="External"/><Relationship Id="rId303" Type="http://schemas.openxmlformats.org/officeDocument/2006/relationships/hyperlink" Target="https://www.usaspending.gov/award/CONT_AWD_70B02C25F00000038_7014_70B02C22A00000001_7014" TargetMode="External"/><Relationship Id="rId42" Type="http://schemas.openxmlformats.org/officeDocument/2006/relationships/hyperlink" Target="https://www.usaspending.gov/award/CONT_AWD_70US0924F3OTH2986_7009_NNG15SD02B_8000" TargetMode="External"/><Relationship Id="rId84" Type="http://schemas.openxmlformats.org/officeDocument/2006/relationships/hyperlink" Target="https://www.usaspending.gov/award/CONT_AWD_70CTD022FR0000002_7012_GS35F386DA_4732" TargetMode="External"/><Relationship Id="rId138" Type="http://schemas.openxmlformats.org/officeDocument/2006/relationships/hyperlink" Target="https://www.usaspending.gov/award/CONT_AWD_70B02C21F00000405_7014_FA254420D0001_9700" TargetMode="External"/><Relationship Id="rId345" Type="http://schemas.openxmlformats.org/officeDocument/2006/relationships/hyperlink" Target="https://www.usaspending.gov/award/CONT_AWD_70CMSW25FC0000014_7012_70B02C24A00000030_7014" TargetMode="External"/><Relationship Id="rId387" Type="http://schemas.openxmlformats.org/officeDocument/2006/relationships/hyperlink" Target="https://www.usaspending.gov/award/CONT_AWD_70B01C26F00000239_7014_70B01C24A00000028_7014" TargetMode="External"/><Relationship Id="rId191" Type="http://schemas.openxmlformats.org/officeDocument/2006/relationships/hyperlink" Target="https://micahflee.github.io/ice-contracts/?modalType=contract&amp;modalAwardId=1371" TargetMode="External"/><Relationship Id="rId205" Type="http://schemas.openxmlformats.org/officeDocument/2006/relationships/hyperlink" Target="https://www.usaspending.gov/award/CONT_AWD_70RTAC23FR0000035_7001_GS02F026DA_4732" TargetMode="External"/><Relationship Id="rId247" Type="http://schemas.openxmlformats.org/officeDocument/2006/relationships/hyperlink" Target="https://www.usaspending.gov/award/CONT_AWD_70CMSD26FR0000033_7012_47QTCA24D008A_4732" TargetMode="External"/><Relationship Id="rId412" Type="http://schemas.openxmlformats.org/officeDocument/2006/relationships/hyperlink" Target="https://www.biometricupdate.com/companies/incadence-strategic-solutions" TargetMode="External"/><Relationship Id="rId107" Type="http://schemas.openxmlformats.org/officeDocument/2006/relationships/hyperlink" Target="https://www.usaspending.gov/award/CONT_AWD_70RSAT24FR0000056_7001_HSHQDC13D00019_7001" TargetMode="External"/><Relationship Id="rId289" Type="http://schemas.openxmlformats.org/officeDocument/2006/relationships/hyperlink" Target="https://www.usaspending.gov/award/CONT_AWD_70CMSD22FC0000053_7012_70B02C22A00000007_7014" TargetMode="External"/><Relationship Id="rId11" Type="http://schemas.openxmlformats.org/officeDocument/2006/relationships/hyperlink" Target="https://www.usaspending.gov/award/CONT_AWD_70CTD019FR0000268_7012_GS35F0086U_4730" TargetMode="External"/><Relationship Id="rId53" Type="http://schemas.openxmlformats.org/officeDocument/2006/relationships/hyperlink" Target="https://www.usaspending.gov/award/CONT_AWD_70CDCR21FR0000022_7012_GS00Q14OADU113_4732" TargetMode="External"/><Relationship Id="rId149" Type="http://schemas.openxmlformats.org/officeDocument/2006/relationships/hyperlink" Target="https://www.usaspending.gov/award/CONT_AWD_70CMSD25P00000029_7012_-NONE-_-NONE-" TargetMode="External"/><Relationship Id="rId314" Type="http://schemas.openxmlformats.org/officeDocument/2006/relationships/hyperlink" Target="https://www.usaspending.gov/award/CONT_AWD_70B03C22F00001003_7014_70B02C22A00000001_7014" TargetMode="External"/><Relationship Id="rId356" Type="http://schemas.openxmlformats.org/officeDocument/2006/relationships/hyperlink" Target="https://www.usaspending.gov/award/CONT_AWD_70B02C25F00000484_7014_70B03C23D00000006_7014" TargetMode="External"/><Relationship Id="rId398" Type="http://schemas.openxmlformats.org/officeDocument/2006/relationships/hyperlink" Target="https://www.404media.co/ice-appears-to-be-buying-immigrants-tax-identifiers-from-a-data-broker/" TargetMode="External"/><Relationship Id="rId95" Type="http://schemas.openxmlformats.org/officeDocument/2006/relationships/hyperlink" Target="https://www.usaspending.gov/award/CONT_AWD_70CMSD23FR0000141_7012_HSHQDC13D00025_7001" TargetMode="External"/><Relationship Id="rId160" Type="http://schemas.openxmlformats.org/officeDocument/2006/relationships/hyperlink" Target="https://www.usaspending.gov/award/CONT_AWD_70B03C23F00001307_7014_HSHQDC12D00013_7001" TargetMode="External"/><Relationship Id="rId216" Type="http://schemas.openxmlformats.org/officeDocument/2006/relationships/hyperlink" Target="https://www.usaspending.gov/award/CONT_AWD_70B03C24P00000667_7014_-NONE-_-NONE-" TargetMode="External"/><Relationship Id="rId423" Type="http://schemas.openxmlformats.org/officeDocument/2006/relationships/hyperlink" Target="https://www.teeltech.com/mobile-device-forensic-tools/finalmobile-forensics/" TargetMode="External"/><Relationship Id="rId258" Type="http://schemas.openxmlformats.org/officeDocument/2006/relationships/hyperlink" Target="https://www.usaspending.gov/award/CONT_AWD_70B03C23F00001053_7014_HSHQDC12D00013_7001" TargetMode="External"/><Relationship Id="rId22" Type="http://schemas.openxmlformats.org/officeDocument/2006/relationships/hyperlink" Target="https://www.usaspending.gov/award/CONT_IDV_70CDCR26D00000006_7012" TargetMode="External"/><Relationship Id="rId64" Type="http://schemas.openxmlformats.org/officeDocument/2006/relationships/hyperlink" Target="https://www.usaspending.gov/award/CONT_AWD_70CMSD25FR0000087_7012_NNG15SD74B_8000" TargetMode="External"/><Relationship Id="rId118" Type="http://schemas.openxmlformats.org/officeDocument/2006/relationships/hyperlink" Target="https://www.usaspending.gov/award/CONT_AWD_70CMSD25FR0000084_7012_NNG15SC86B_8000" TargetMode="External"/><Relationship Id="rId325" Type="http://schemas.openxmlformats.org/officeDocument/2006/relationships/hyperlink" Target="https://www.usaspending.gov/award/CONT_AWD_70B03C25F00001185_7014_70B02C24A00000030_7014" TargetMode="External"/><Relationship Id="rId367" Type="http://schemas.openxmlformats.org/officeDocument/2006/relationships/hyperlink" Target="https://www.usaspending.gov/award/CONT_AWD_70B03C24F00000228_7014_70B03C23D00000006_7014" TargetMode="External"/><Relationship Id="rId171" Type="http://schemas.openxmlformats.org/officeDocument/2006/relationships/hyperlink" Target="https://www.usaspending.gov/award/CONT_AWD_70Z0G325POIPL0001_7008_-NONE-_-NONE-" TargetMode="External"/><Relationship Id="rId227" Type="http://schemas.openxmlformats.org/officeDocument/2006/relationships/hyperlink" Target="https://www.usaspending.gov/award/CONT_AWD_HSHQDC17CB0033_7001_-NONE-_-NONE-" TargetMode="External"/><Relationship Id="rId269" Type="http://schemas.openxmlformats.org/officeDocument/2006/relationships/hyperlink" Target="https://www.usaspending.gov/award/CONT_AWD_70B03C25F00001115_7014_NNG15SC92B_8000" TargetMode="External"/><Relationship Id="rId434" Type="http://schemas.openxmlformats.org/officeDocument/2006/relationships/hyperlink" Target="https://www.wired.com/story/mobile-fortify-face-recognition-nec-ice-cbp/" TargetMode="External"/><Relationship Id="rId33" Type="http://schemas.openxmlformats.org/officeDocument/2006/relationships/hyperlink" Target="https://www.usaspending.gov/award/CONT_AWD_70CMSD24P00000119_7012_-NONE-_-NONE-" TargetMode="External"/><Relationship Id="rId129" Type="http://schemas.openxmlformats.org/officeDocument/2006/relationships/hyperlink" Target="https://www.usaspending.gov/award/CONT_AWD_70US0920C70090051_7009_-NONE-_-NONE-" TargetMode="External"/><Relationship Id="rId280" Type="http://schemas.openxmlformats.org/officeDocument/2006/relationships/hyperlink" Target="https://www.usaspending.gov/award/CONT_AWD_70SBUR20F00000043_7003_GS35F404DA_4732" TargetMode="External"/><Relationship Id="rId336" Type="http://schemas.openxmlformats.org/officeDocument/2006/relationships/hyperlink" Target="https://www.usaspending.gov/award/CONT_AWD_70B03C25F00000839_7014_70B02C24A00000030_7014" TargetMode="External"/><Relationship Id="rId75" Type="http://schemas.openxmlformats.org/officeDocument/2006/relationships/hyperlink" Target="https://www.usaspending.gov/award/CONT_AWD_70B06C25F00000048_7014_NNG15SC92B_8000" TargetMode="External"/><Relationship Id="rId140" Type="http://schemas.openxmlformats.org/officeDocument/2006/relationships/hyperlink" Target="https://www.usaspending.gov/award/CONT_AWD_70RSAT20C00000059_7001_-NONE-_-NONE-" TargetMode="External"/><Relationship Id="rId182" Type="http://schemas.openxmlformats.org/officeDocument/2006/relationships/hyperlink" Target="https://www.usaspending.gov/award/CONT_AWD_70CMSD23P00000083_7012_-NONE-_-NONE-" TargetMode="External"/><Relationship Id="rId378" Type="http://schemas.openxmlformats.org/officeDocument/2006/relationships/hyperlink" Target="https://www.usaspending.gov/award/CONT_AWD_70B02C22C00000053_7014_-NONE-_-NONE-" TargetMode="External"/><Relationship Id="rId403" Type="http://schemas.openxmlformats.org/officeDocument/2006/relationships/hyperlink" Target="https://www.biometricupdate.com/202409/ice-to-award-contract-to-field-more-nec-fingerprint-capture-devices" TargetMode="External"/><Relationship Id="rId6" Type="http://schemas.openxmlformats.org/officeDocument/2006/relationships/hyperlink" Target="https://www.usaspending.gov/award/CONT_AWD_70CTD024P00000012_7012_-NONE-_-NONE-" TargetMode="External"/><Relationship Id="rId238" Type="http://schemas.openxmlformats.org/officeDocument/2006/relationships/hyperlink" Target="https://www.usaspending.gov/award/CONT_AWD_70CMSD22P00000050_7012_-NONE-_-NONE-" TargetMode="External"/><Relationship Id="rId291" Type="http://schemas.openxmlformats.org/officeDocument/2006/relationships/hyperlink" Target="https://www.usaspending.gov/award/CONT_AWD_70CMSD22FC0000045_7012_70B02C22A00000007_7014" TargetMode="External"/><Relationship Id="rId305" Type="http://schemas.openxmlformats.org/officeDocument/2006/relationships/hyperlink" Target="https://www.usaspending.gov/award/CONT_AWD_70B03C24F00000561_7014_70B02C22A00000001_7014" TargetMode="External"/><Relationship Id="rId347" Type="http://schemas.openxmlformats.org/officeDocument/2006/relationships/hyperlink" Target="https://www.usaspending.gov/award/CONT_AWD_70US0924F1DHS2152_7009_70B02C24A00000030_7014" TargetMode="External"/><Relationship Id="rId44" Type="http://schemas.openxmlformats.org/officeDocument/2006/relationships/hyperlink" Target="https://www.usaspending.gov/award/CONT_AWD_70CMSD19C00000001_7012_-NONE-_-NONE-" TargetMode="External"/><Relationship Id="rId86" Type="http://schemas.openxmlformats.org/officeDocument/2006/relationships/hyperlink" Target="https://www.usaspending.gov/award/CONT_AWD_70B03C24P00000179_7014_-NONE-_-NONE-" TargetMode="External"/><Relationship Id="rId151" Type="http://schemas.openxmlformats.org/officeDocument/2006/relationships/hyperlink" Target="https://www.usaspending.gov/award/CONT_AWD_70CMSD25P00000100_7012_-NONE-_-NONE-" TargetMode="External"/><Relationship Id="rId389" Type="http://schemas.openxmlformats.org/officeDocument/2006/relationships/hyperlink" Target="https://www.usaspending.gov/award/CONT_AWD_70CMSD23P00000133_7012_-NONE-_-NONE-" TargetMode="External"/><Relationship Id="rId193" Type="http://schemas.openxmlformats.org/officeDocument/2006/relationships/hyperlink" Target="https://www.usaspending.gov/award/CONT_AWD_70B04C20P00000025_7014_-NONE-_-NONE-" TargetMode="External"/><Relationship Id="rId207" Type="http://schemas.openxmlformats.org/officeDocument/2006/relationships/hyperlink" Target="https://www.usaspending.gov/award/CONT_AWD_70B06C23P00000378_7014_-NONE-_-NONE-" TargetMode="External"/><Relationship Id="rId249" Type="http://schemas.openxmlformats.org/officeDocument/2006/relationships/hyperlink" Target="https://www.usaspending.gov/award/CONT_IDV_70B02C22A00000002_7014" TargetMode="External"/><Relationship Id="rId414" Type="http://schemas.openxmlformats.org/officeDocument/2006/relationships/hyperlink" Target="https://www.cbp.gov/document/directives/cbp-directive-4320-030b-incident-driven-video-recording-system" TargetMode="External"/><Relationship Id="rId13" Type="http://schemas.openxmlformats.org/officeDocument/2006/relationships/hyperlink" Target="https://www.usaspending.gov/award/CONT_AWD_70CTD022FR0000070_7012_GS35F0086U_4730" TargetMode="External"/><Relationship Id="rId109" Type="http://schemas.openxmlformats.org/officeDocument/2006/relationships/hyperlink" Target="https://www.usaspending.gov/award/CONT_AWD_70CMSD22P00000065_7012_-NONE-_-NONE-" TargetMode="External"/><Relationship Id="rId260" Type="http://schemas.openxmlformats.org/officeDocument/2006/relationships/hyperlink" Target="https://www.usaspending.gov/award/CONT_AWD_70US0922C70092645_7009_-NONE-_-NONE-" TargetMode="External"/><Relationship Id="rId316" Type="http://schemas.openxmlformats.org/officeDocument/2006/relationships/hyperlink" Target="https://www.usaspending.gov/award/CONT_AWD_70US0922F1DHS2085_7009_70B02C22A00000001_7014" TargetMode="External"/><Relationship Id="rId55" Type="http://schemas.openxmlformats.org/officeDocument/2006/relationships/hyperlink" Target="https://www.usaspending.gov/award/CONT_IDV_70CMSD18A00000003_7012" TargetMode="External"/><Relationship Id="rId97" Type="http://schemas.openxmlformats.org/officeDocument/2006/relationships/hyperlink" Target="https://www.usaspending.gov/award/CONT_IDV_HSCEMD17D00001_7012" TargetMode="External"/><Relationship Id="rId120" Type="http://schemas.openxmlformats.org/officeDocument/2006/relationships/hyperlink" Target="https://www.usaspending.gov/award/CONT_AWD_70CMSD24FR0000091_7012_HSHQDC13D00020_7001" TargetMode="External"/><Relationship Id="rId358" Type="http://schemas.openxmlformats.org/officeDocument/2006/relationships/hyperlink" Target="https://www.usaspending.gov/award/CONT_AWD_70CMSW24FR0000097_7012_70B03C23D00000006_7014" TargetMode="External"/><Relationship Id="rId162" Type="http://schemas.openxmlformats.org/officeDocument/2006/relationships/hyperlink" Target="https://www.usaspending.gov/award/CONT_AWD_70CMSD23P00000055_7012_-NONE-_-NONE-" TargetMode="External"/><Relationship Id="rId218" Type="http://schemas.openxmlformats.org/officeDocument/2006/relationships/hyperlink" Target="https://www.usaspending.gov/award/CONT_AWD_70B03C25P00000378_7014_-NONE-_-NONE-" TargetMode="External"/><Relationship Id="rId425" Type="http://schemas.openxmlformats.org/officeDocument/2006/relationships/hyperlink" Target="https://www.motorolasolutions.com/en_us/products/command-center-software/public-safety-software/analysis-and-investigation/callyo-investigative-solutions.html" TargetMode="External"/><Relationship Id="rId271" Type="http://schemas.openxmlformats.org/officeDocument/2006/relationships/hyperlink" Target="https://www.usaspending.gov/award/CONT_AWD_70B06C26F00000458_7014_NNG15SD02B_8000" TargetMode="External"/><Relationship Id="rId24" Type="http://schemas.openxmlformats.org/officeDocument/2006/relationships/hyperlink" Target="https://www.usaspending.gov/award/CONT_IDV_70CDCR26D00000014_7012" TargetMode="External"/><Relationship Id="rId66" Type="http://schemas.openxmlformats.org/officeDocument/2006/relationships/hyperlink" Target="https://www.usaspending.gov/award/CONT_AWD_70B03C23F00000916_7014_HSHQDC13D00026_7001" TargetMode="External"/><Relationship Id="rId131" Type="http://schemas.openxmlformats.org/officeDocument/2006/relationships/hyperlink" Target="https://www.usaspending.gov/award/CONT_AWD_70CMSD24P00000081_7012_-NONE-_-NONE-" TargetMode="External"/><Relationship Id="rId327" Type="http://schemas.openxmlformats.org/officeDocument/2006/relationships/hyperlink" Target="https://www.usaspending.gov/award/CONT_AWD_70B03C25F00000630_7014_70B02C24A00000030_7014" TargetMode="External"/><Relationship Id="rId369" Type="http://schemas.openxmlformats.org/officeDocument/2006/relationships/hyperlink" Target="https://www.usaspending.gov/award/CONT_AWD_70RFP323FREH00019_7001_70B03C23D00000006_7014" TargetMode="External"/><Relationship Id="rId173" Type="http://schemas.openxmlformats.org/officeDocument/2006/relationships/hyperlink" Target="https://www.usaspending.gov/award/CONT_AWD_70RFP325CEH000003_7001_-NONE-_-NONE-" TargetMode="External"/><Relationship Id="rId229" Type="http://schemas.openxmlformats.org/officeDocument/2006/relationships/hyperlink" Target="https://www.usaspending.gov/award/CONT_AWD_70US0924C70093807_7009_-NONE-_-NONE-" TargetMode="External"/><Relationship Id="rId380" Type="http://schemas.openxmlformats.org/officeDocument/2006/relationships/hyperlink" Target="https://www.usaspending.gov/award/CONT_AWD_70B04C21F00001012_7014_GS35F032CA_4732" TargetMode="External"/><Relationship Id="rId436" Type="http://schemas.openxmlformats.org/officeDocument/2006/relationships/hyperlink" Target="https://techcrunch.com/2025/09/18/ice-unit-signs-new-3-million-contract-for-phone-hacking-tech/" TargetMode="External"/><Relationship Id="rId240" Type="http://schemas.openxmlformats.org/officeDocument/2006/relationships/hyperlink" Target="https://www.usaspending.gov/award/CONT_AWD_70CMSD23P00000050_7012_-NONE-_-NONE-" TargetMode="External"/><Relationship Id="rId35" Type="http://schemas.openxmlformats.org/officeDocument/2006/relationships/hyperlink" Target="https://www.usaspending.gov/award/CONT_AWD_70B03C25P00000322_7014_-NONE-_-NONE-" TargetMode="External"/><Relationship Id="rId77" Type="http://schemas.openxmlformats.org/officeDocument/2006/relationships/hyperlink" Target="https://www.usaspending.gov/award/CONT_AWD_70CDCR24FR0000006_7012_47QTCA18D00A2_4732" TargetMode="External"/><Relationship Id="rId100" Type="http://schemas.openxmlformats.org/officeDocument/2006/relationships/hyperlink" Target="https://www.usaspending.gov/award/CONT_AWD_70B06C21F00000538_7014_GS07F355AA_4732" TargetMode="External"/><Relationship Id="rId282" Type="http://schemas.openxmlformats.org/officeDocument/2006/relationships/hyperlink" Target="https://www.usaspending.gov/award/CONT_AWD_70CMSW21P00000046_7012_-NONE-_-NONE-" TargetMode="External"/><Relationship Id="rId338" Type="http://schemas.openxmlformats.org/officeDocument/2006/relationships/hyperlink" Target="https://www.usaspending.gov/award/CONT_AWD_70CMSW25FC0000084_7012_70B02C24A00000030_7014" TargetMode="External"/><Relationship Id="rId8" Type="http://schemas.openxmlformats.org/officeDocument/2006/relationships/hyperlink" Target="https://www.usaspending.gov/award/CONT_AWD_70US0923C70092939_7009_-NONE-_-NONE-" TargetMode="External"/><Relationship Id="rId142" Type="http://schemas.openxmlformats.org/officeDocument/2006/relationships/hyperlink" Target="https://www.usaspending.gov/award/CONT_AWD_70SBUR23C00000009_7003_-NONE-_-NONE-" TargetMode="External"/><Relationship Id="rId184" Type="http://schemas.openxmlformats.org/officeDocument/2006/relationships/hyperlink" Target="https://www.usaspending.gov/award/CONT_AWD_70CMSD21P00000122_7012_-NONE-_-NONE-" TargetMode="External"/><Relationship Id="rId391" Type="http://schemas.openxmlformats.org/officeDocument/2006/relationships/hyperlink" Target="https://www.usaspending.gov/award/CONT_AWD_70CMSD25P00000064_7012_-NONE-_-NONE-" TargetMode="External"/><Relationship Id="rId405" Type="http://schemas.openxmlformats.org/officeDocument/2006/relationships/hyperlink" Target="https://www.levernews.com/inside-ices-12-million-plan-to-map-immigrants-patterns-of-life/;%20https:/www.documentcloud.org/documents/28043517-april-2026-project-safe-haven-statement-of-work/?ref=levernews.com;%20https://jacobin.com/2026/05/edge-ops-ice-surveillance-website" TargetMode="External"/><Relationship Id="rId251" Type="http://schemas.openxmlformats.org/officeDocument/2006/relationships/hyperlink" Target="https://www.usaspending.gov/award/CONT_AWD_70CTD021FR0000052_7012_75N98119D00004_7529" TargetMode="External"/><Relationship Id="rId46" Type="http://schemas.openxmlformats.org/officeDocument/2006/relationships/hyperlink" Target="https://www.usaspending.gov/award/CONT_AWD_70B03C19P00000624_7014_-NONE-_-NONE-" TargetMode="External"/><Relationship Id="rId293" Type="http://schemas.openxmlformats.org/officeDocument/2006/relationships/hyperlink" Target="https://www.usaspending.gov/award/CONT_AWD_70CMSD22FC0000043_7012_70B02C22A00000007_7014" TargetMode="External"/><Relationship Id="rId307" Type="http://schemas.openxmlformats.org/officeDocument/2006/relationships/hyperlink" Target="https://www.usaspending.gov/award/CONT_AWD_70B03C23F00001353_7014_70B02C22A00000001_7014" TargetMode="External"/><Relationship Id="rId349" Type="http://schemas.openxmlformats.org/officeDocument/2006/relationships/hyperlink" Target="https://www.usaspending.gov/award/CONT_AWD_70CMSW24FC0000121_7012_70B02C24A00000030_7014" TargetMode="External"/><Relationship Id="rId88" Type="http://schemas.openxmlformats.org/officeDocument/2006/relationships/hyperlink" Target="https://www.usaspending.gov/award/CONT_AWD_70RDAD20C00000016_7001_-NONE-_-NONE-" TargetMode="External"/><Relationship Id="rId111" Type="http://schemas.openxmlformats.org/officeDocument/2006/relationships/hyperlink" Target="https://www.usaspending.gov/award/CONT_AWD_70CMSD22P00000085_7012_-NONE-_-NONE-" TargetMode="External"/><Relationship Id="rId153" Type="http://schemas.openxmlformats.org/officeDocument/2006/relationships/hyperlink" Target="https://www.usaspending.gov/award/CONT_AWD_70CMSD25P00000098_7012_-NONE-_-NONE-" TargetMode="External"/><Relationship Id="rId195" Type="http://schemas.openxmlformats.org/officeDocument/2006/relationships/hyperlink" Target="https://www.usaspending.gov/award/CONT_AWD_70B01C26F00000123_7014_70B01C24A00000028_7014" TargetMode="External"/><Relationship Id="rId209" Type="http://schemas.openxmlformats.org/officeDocument/2006/relationships/hyperlink" Target="https://www.usaspending.gov/award/CONT_AWD_70B06C23P00000470_7014_-NONE-_-NONE-" TargetMode="External"/><Relationship Id="rId360" Type="http://schemas.openxmlformats.org/officeDocument/2006/relationships/hyperlink" Target="https://www.usaspending.gov/award/CONT_AWD_70B02C24F00000791_7014_70B03C23D00000006_7014" TargetMode="External"/><Relationship Id="rId416" Type="http://schemas.openxmlformats.org/officeDocument/2006/relationships/hyperlink" Target="https://www.skopenow.com/" TargetMode="External"/><Relationship Id="rId220" Type="http://schemas.openxmlformats.org/officeDocument/2006/relationships/hyperlink" Target="https://www.usaspending.gov/award/CONT_AWD_70B06C20P00000595_7014_-NONE-_-NONE-" TargetMode="External"/><Relationship Id="rId15" Type="http://schemas.openxmlformats.org/officeDocument/2006/relationships/hyperlink" Target="https://www.usaspending.gov/award/CONT_IDV_70CDCR26D00000019_7012" TargetMode="External"/><Relationship Id="rId57" Type="http://schemas.openxmlformats.org/officeDocument/2006/relationships/hyperlink" Target="https://www.usaspending.gov/award/CONT_AWD_70RCSA20FR0000078_7001_47QTCK18D0003_4732" TargetMode="External"/><Relationship Id="rId262" Type="http://schemas.openxmlformats.org/officeDocument/2006/relationships/hyperlink" Target="https://www.usaspending.gov/award/CONT_AWD_70CMSD25C00000005_7012_-NONE-_-NONE-" TargetMode="External"/><Relationship Id="rId318" Type="http://schemas.openxmlformats.org/officeDocument/2006/relationships/hyperlink" Target="https://www.usaspending.gov/award/CONT_AWD_70CMSD22FC0000017_7012_70B02C22A00000001_7014" TargetMode="External"/><Relationship Id="rId99" Type="http://schemas.openxmlformats.org/officeDocument/2006/relationships/hyperlink" Target="https://www.usaspending.gov/award/CONT_AWD_70B06C21P00000491_7014_-NONE-_-NONE-" TargetMode="External"/><Relationship Id="rId122" Type="http://schemas.openxmlformats.org/officeDocument/2006/relationships/hyperlink" Target="https://www.usaspending.gov/award/CONT_AWD_70CMSD21FR0000195_7012_HSHQDC13D00004_7001" TargetMode="External"/><Relationship Id="rId164" Type="http://schemas.openxmlformats.org/officeDocument/2006/relationships/hyperlink" Target="https://www.usaspending.gov/award/CONT_IDV_70B02C24A00000031_7014" TargetMode="External"/><Relationship Id="rId371" Type="http://schemas.openxmlformats.org/officeDocument/2006/relationships/hyperlink" Target="https://www.usaspending.gov/award/CONT_AWD_70B02C23F00001272_7014_70B03C23D00000006_7014" TargetMode="External"/><Relationship Id="rId427" Type="http://schemas.openxmlformats.org/officeDocument/2006/relationships/hyperlink" Target="https://www.cybertriage.com/" TargetMode="External"/><Relationship Id="rId26" Type="http://schemas.openxmlformats.org/officeDocument/2006/relationships/hyperlink" Target="https://www.usaspending.gov/award/CONT_IDV_70CDCR26D00000016_7012" TargetMode="External"/><Relationship Id="rId231" Type="http://schemas.openxmlformats.org/officeDocument/2006/relationships/hyperlink" Target="https://www.usaspending.gov/award/CONT_AWD_70CMSD24FR0000090_7012_HSHQDC13D00025_7001" TargetMode="External"/><Relationship Id="rId273" Type="http://schemas.openxmlformats.org/officeDocument/2006/relationships/hyperlink" Target="https://www.usaspending.gov/award/CONT_AWD_70CMSD26P00000037_7012_-NONE-_-NONE-" TargetMode="External"/><Relationship Id="rId329" Type="http://schemas.openxmlformats.org/officeDocument/2006/relationships/hyperlink" Target="https://www.usaspending.gov/award/CONT_AWD_70B03C25F00000705_7014_70B02C24A00000030_7014" TargetMode="External"/><Relationship Id="rId68" Type="http://schemas.openxmlformats.org/officeDocument/2006/relationships/hyperlink" Target="https://www.usaspending.gov/award/CONT_AWD_70US0925F1DHS2436_7009_NNG15SC82B_8000" TargetMode="External"/><Relationship Id="rId133" Type="http://schemas.openxmlformats.org/officeDocument/2006/relationships/hyperlink" Target="https://www.usaspending.gov/award/CONT_AWD_70US0923C70093611_7009_-NONE-_-NONE-" TargetMode="External"/><Relationship Id="rId175" Type="http://schemas.openxmlformats.org/officeDocument/2006/relationships/hyperlink" Target="https://www.usaspending.gov/award/CONT_AWD_70US0921P70090088_7009_-NONE-_-NONE-" TargetMode="External"/><Relationship Id="rId340" Type="http://schemas.openxmlformats.org/officeDocument/2006/relationships/hyperlink" Target="https://www.usaspending.gov/award/CONT_AWD_70B03C25F00000476_7014_70B02C24A00000030_7014" TargetMode="External"/><Relationship Id="rId200" Type="http://schemas.openxmlformats.org/officeDocument/2006/relationships/hyperlink" Target="https://www.usaspending.gov/award/CONT_AWD_70SBUR26F00000071_7003_NNG15SD19B_8000" TargetMode="External"/><Relationship Id="rId382" Type="http://schemas.openxmlformats.org/officeDocument/2006/relationships/hyperlink" Target="https://www.usaspending.gov/award/CONT_AWD_70B01C24F00000394_7014_70B03C20A00000017_7014" TargetMode="External"/><Relationship Id="rId438" Type="http://schemas.openxmlformats.org/officeDocument/2006/relationships/hyperlink" Target="https://sam.gov/workspace/contract/opp/b92458a603f24cb5926eafe26829cde5/view" TargetMode="External"/><Relationship Id="rId242" Type="http://schemas.openxmlformats.org/officeDocument/2006/relationships/hyperlink" Target="https://www.usaspending.gov/award/CONT_AWD_70CMSD23FR0000060_7012_HSHQDC13D00025_7001" TargetMode="External"/><Relationship Id="rId284" Type="http://schemas.openxmlformats.org/officeDocument/2006/relationships/hyperlink" Target="https://www.usaspending.gov/award/CONT_AWD_70CMSD23FC0000006_7012_70B02C22A00000007_7014" TargetMode="External"/><Relationship Id="rId37" Type="http://schemas.openxmlformats.org/officeDocument/2006/relationships/hyperlink" Target="https://www.usaspending.gov/award/CONT_AWD_70CTD025C00000001_7012_-NONE-_-NONE-" TargetMode="External"/><Relationship Id="rId79" Type="http://schemas.openxmlformats.org/officeDocument/2006/relationships/hyperlink" Target="https://www.usaspending.gov/award/CONT_AWD_70B03C24F00000304_7014_70RTAC21D00000001_7001" TargetMode="External"/><Relationship Id="rId102" Type="http://schemas.openxmlformats.org/officeDocument/2006/relationships/hyperlink" Target="https://www.usaspending.gov/award/CONT_IDV_70B06C22D00000012_7014" TargetMode="External"/><Relationship Id="rId144" Type="http://schemas.openxmlformats.org/officeDocument/2006/relationships/hyperlink" Target="https://www.usaspending.gov/award/CONT_AWD_70RDA124C00000002_7001_-NONE-_-NONE-" TargetMode="External"/><Relationship Id="rId90" Type="http://schemas.openxmlformats.org/officeDocument/2006/relationships/hyperlink" Target="https://www.usaspending.gov/award/CONT_AWD_70CMSD24FR0000094_7012_HSHQDC13D00025_7001" TargetMode="External"/><Relationship Id="rId186" Type="http://schemas.openxmlformats.org/officeDocument/2006/relationships/hyperlink" Target="https://www.usaspending.gov/award/CONT_AWD_70CTD022FR0000104_7012_GS35F253CA_4732" TargetMode="External"/><Relationship Id="rId351" Type="http://schemas.openxmlformats.org/officeDocument/2006/relationships/hyperlink" Target="https://www.usaspending.gov/award/CONT_AWD_70B02C26F00000180_7014_70B03C23D00000006_7014" TargetMode="External"/><Relationship Id="rId393" Type="http://schemas.openxmlformats.org/officeDocument/2006/relationships/hyperlink" Target="https://www.usaspending.gov/award/CONT_AWD_70CTD026FC0000012_7012_70RTAC26A00000001_7001" TargetMode="External"/><Relationship Id="rId407" Type="http://schemas.openxmlformats.org/officeDocument/2006/relationships/hyperlink" Target="https://www.asatunews.co.id/en/ice-contract-mvm-inc-immigrant-wellness-checks" TargetMode="External"/><Relationship Id="rId211" Type="http://schemas.openxmlformats.org/officeDocument/2006/relationships/hyperlink" Target="https://www.usaspending.gov/award/CONT_AWD_70US0924P70092609_7009_-NONE-_-NONE-" TargetMode="External"/><Relationship Id="rId253" Type="http://schemas.openxmlformats.org/officeDocument/2006/relationships/hyperlink" Target="https://www.usaspending.gov/award/CONT_AWD_70CTD025FR0000027_7012_NNG15SC78B_8000" TargetMode="External"/><Relationship Id="rId295" Type="http://schemas.openxmlformats.org/officeDocument/2006/relationships/hyperlink" Target="https://www.usaspending.gov/award/CONT_AWD_70CMSD22FC0000035_7012_70B02C22A00000007_7014" TargetMode="External"/><Relationship Id="rId309" Type="http://schemas.openxmlformats.org/officeDocument/2006/relationships/hyperlink" Target="https://www.usaspending.gov/award/CONT_AWD_70CMSD23FC0000035_7012_70B02C22A00000001_7014" TargetMode="External"/><Relationship Id="rId48" Type="http://schemas.openxmlformats.org/officeDocument/2006/relationships/hyperlink" Target="https://www.usaspending.gov/award/CONT_AWD_70CMSD23FR0000109_7012_HSHQDC13D00020_7001" TargetMode="External"/><Relationship Id="rId113" Type="http://schemas.openxmlformats.org/officeDocument/2006/relationships/hyperlink" Target="https://www.usaspending.gov/award/CONT_AWD_70US0925P70092394_7009_-NONE-_-NONE-" TargetMode="External"/><Relationship Id="rId320" Type="http://schemas.openxmlformats.org/officeDocument/2006/relationships/hyperlink" Target="https://www.usaspending.gov/award/CONT_AWD_70US0922F3OTH2004_7009_70B02C22A00000001_7014" TargetMode="External"/><Relationship Id="rId155" Type="http://schemas.openxmlformats.org/officeDocument/2006/relationships/hyperlink" Target="https://www.usaspending.gov/award/CONT_AWD_70RTAC24FR0000002_7001_HSHQDC13D00003_7001" TargetMode="External"/><Relationship Id="rId197" Type="http://schemas.openxmlformats.org/officeDocument/2006/relationships/hyperlink" Target="https://www.usaspending.gov/award/CONT_AWD_70SBUR26F00000049_7003_NNG15SD38B_8000" TargetMode="External"/><Relationship Id="rId362" Type="http://schemas.openxmlformats.org/officeDocument/2006/relationships/hyperlink" Target="https://www.usaspending.gov/award/CONT_AWD_70US0924F1DHS2948_7009_70B03C23D00000006_7014" TargetMode="External"/><Relationship Id="rId418" Type="http://schemas.openxmlformats.org/officeDocument/2006/relationships/hyperlink" Target="https://whooster.com/" TargetMode="External"/><Relationship Id="rId222" Type="http://schemas.openxmlformats.org/officeDocument/2006/relationships/hyperlink" Target="https://www.usaspending.gov/award/CONT_AWD_70US0921P70090100_7009_-NONE-_-NONE-" TargetMode="External"/><Relationship Id="rId264" Type="http://schemas.openxmlformats.org/officeDocument/2006/relationships/hyperlink" Target="https://www.usaspending.gov/award/CONT_AWD_70CMSD21FR0000102_7012_NNG15SC92B_8000" TargetMode="External"/><Relationship Id="rId17" Type="http://schemas.openxmlformats.org/officeDocument/2006/relationships/hyperlink" Target="https://www.usaspending.gov/award/CONT_IDV_70CDCR26D00000018_7012" TargetMode="External"/><Relationship Id="rId59" Type="http://schemas.openxmlformats.org/officeDocument/2006/relationships/hyperlink" Target="https://www.usaspending.gov/award/CONT_IDV_70CMSD19A00000007_7012" TargetMode="External"/><Relationship Id="rId124" Type="http://schemas.openxmlformats.org/officeDocument/2006/relationships/hyperlink" Target="https://www.usaspending.gov/award/CONT_AWD_70CMSD23P00000125_7012_-NONE-_-NONE-" TargetMode="External"/><Relationship Id="rId70" Type="http://schemas.openxmlformats.org/officeDocument/2006/relationships/hyperlink" Target="https://www.usaspending.gov/award/CONT_AWD_70B03C23F00001003_7014_HSHQDC12D00013_7001" TargetMode="External"/><Relationship Id="rId166" Type="http://schemas.openxmlformats.org/officeDocument/2006/relationships/hyperlink" Target="https://www.usaspending.gov/award/CONT_AWD_70CMSW25P00000062_7012_-NONE-_-NONE-" TargetMode="External"/><Relationship Id="rId331" Type="http://schemas.openxmlformats.org/officeDocument/2006/relationships/hyperlink" Target="https://www.usaspending.gov/award/CONT_AWD_70B03C25F00000650_7014_70B02C24A00000030_7014" TargetMode="External"/><Relationship Id="rId373" Type="http://schemas.openxmlformats.org/officeDocument/2006/relationships/hyperlink" Target="https://www.usaspending.gov/award/CONT_AWD_70CMSW23FR0000082_7012_70B03C23D00000006_7014" TargetMode="External"/><Relationship Id="rId429" Type="http://schemas.openxmlformats.org/officeDocument/2006/relationships/hyperlink" Target="https://www.404media.co/ice-contracts-company-making-bounty-hunter-ai-agents/" TargetMode="External"/><Relationship Id="rId1" Type="http://schemas.openxmlformats.org/officeDocument/2006/relationships/hyperlink" Target="https://www.usaspending.gov/award/CONT_AWD_70CMSD25FR0000089_7012_47QSWA18D008F_4732" TargetMode="External"/><Relationship Id="rId233" Type="http://schemas.openxmlformats.org/officeDocument/2006/relationships/hyperlink" Target="https://www.usaspending.gov/award/CONT_AWD_70US0923P70092322_7009_-NONE-_-NONE-" TargetMode="External"/><Relationship Id="rId440" Type="http://schemas.openxmlformats.org/officeDocument/2006/relationships/hyperlink" Target="https://www.usaspending.gov/award/CONT_AWD_70US0922F1DHS2306_7009_70RSAT20D00000001_7001" TargetMode="External"/><Relationship Id="rId28" Type="http://schemas.openxmlformats.org/officeDocument/2006/relationships/hyperlink" Target="https://www.usaspending.gov/award/CONT_AWD_70CDCR18P00000017_7012_-NONE-_-NONE-" TargetMode="External"/><Relationship Id="rId275" Type="http://schemas.openxmlformats.org/officeDocument/2006/relationships/hyperlink" Target="https://www.usaspending.gov/award/CONT_AWD_70B02C22F00000338_7014_47QRAD20DU340_4732" TargetMode="External"/><Relationship Id="rId300" Type="http://schemas.openxmlformats.org/officeDocument/2006/relationships/hyperlink" Target="https://www.usaspending.gov/award/CONT_AWD_70B02C24F00000794_7014_70B02C24A00000032_7014" TargetMode="External"/><Relationship Id="rId81" Type="http://schemas.openxmlformats.org/officeDocument/2006/relationships/hyperlink" Target="https://www.usaspending.gov/award/CONT_AWD_70CMSW20C00000001_7012_-NONE-_-NONE-" TargetMode="External"/><Relationship Id="rId135" Type="http://schemas.openxmlformats.org/officeDocument/2006/relationships/hyperlink" Target="https://www.usaspending.gov/award/CONT_AWD_70US0921C70090090_7009_-NONE-_-NONE-" TargetMode="External"/><Relationship Id="rId177" Type="http://schemas.openxmlformats.org/officeDocument/2006/relationships/hyperlink" Target="https://www.usaspending.gov/award/CONT_AWD_70B04C23F00000093_7014_03310319D0028_0300" TargetMode="External"/><Relationship Id="rId342" Type="http://schemas.openxmlformats.org/officeDocument/2006/relationships/hyperlink" Target="https://www.usaspending.gov/award/CONT_AWD_70B03C25F00000377_7014_70B02C24A00000030_7014" TargetMode="External"/><Relationship Id="rId384" Type="http://schemas.openxmlformats.org/officeDocument/2006/relationships/hyperlink" Target="https://www.usaspending.gov/award/CONT_AWD_70B01C26F00000370_7014_70B01C24A00000028_7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D2E4-FC4C-4333-8AEF-5C05C449B17D}">
  <dimension ref="A1:XFD1567"/>
  <sheetViews>
    <sheetView tabSelected="1" workbookViewId="0">
      <pane ySplit="1" topLeftCell="A405" activePane="bottomLeft" state="frozen"/>
      <selection pane="bottomLeft" activeCell="D417" sqref="D417"/>
    </sheetView>
  </sheetViews>
  <sheetFormatPr baseColWidth="10" defaultColWidth="0" defaultRowHeight="15.75" customHeight="1" zeroHeight="1" x14ac:dyDescent="0.2"/>
  <cols>
    <col min="1" max="1" width="24.6640625" customWidth="1"/>
    <col min="2" max="2" width="22" customWidth="1"/>
    <col min="3" max="3" width="31.6640625" customWidth="1"/>
    <col min="4" max="4" width="21.5" customWidth="1"/>
    <col min="5" max="7" width="13.1640625" customWidth="1"/>
    <col min="8" max="8" width="20.33203125" customWidth="1"/>
    <col min="9" max="9" width="41.1640625" style="12" customWidth="1"/>
    <col min="10" max="10" width="18.33203125" style="3" customWidth="1"/>
    <col min="11" max="11" width="15.6640625" customWidth="1"/>
    <col min="12" max="12" width="9" customWidth="1"/>
    <col min="13" max="13" width="14.6640625" customWidth="1"/>
    <col min="14" max="14" width="13.33203125" customWidth="1"/>
    <col min="15" max="17" width="13.33203125" style="17" customWidth="1"/>
    <col min="18" max="23" width="11" customWidth="1"/>
    <col min="24" max="24" width="12.5" customWidth="1"/>
    <col min="25" max="25" width="22.6640625" customWidth="1"/>
    <col min="26" max="29" width="11" customWidth="1"/>
  </cols>
  <sheetData>
    <row r="1" spans="1:29" ht="15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6" t="s">
        <v>14</v>
      </c>
      <c r="P1" s="16" t="s">
        <v>15</v>
      </c>
      <c r="Q1" s="1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1016</v>
      </c>
    </row>
    <row r="2" spans="1:29" s="24" customFormat="1" ht="15.75" customHeight="1" x14ac:dyDescent="0.2">
      <c r="A2" t="s">
        <v>24</v>
      </c>
      <c r="B2" t="s">
        <v>25</v>
      </c>
      <c r="C2" t="s">
        <v>353</v>
      </c>
      <c r="D2" t="s">
        <v>353</v>
      </c>
      <c r="E2" t="s">
        <v>28</v>
      </c>
      <c r="F2" t="s">
        <v>28</v>
      </c>
      <c r="G2"/>
      <c r="H2" s="7" t="s">
        <v>354</v>
      </c>
      <c r="I2" s="11" t="s">
        <v>355</v>
      </c>
      <c r="J2" s="3" t="s">
        <v>91</v>
      </c>
      <c r="K2">
        <v>0.29499999999999998</v>
      </c>
      <c r="L2">
        <v>0.29499999999999998</v>
      </c>
      <c r="M2" s="2">
        <v>44831</v>
      </c>
      <c r="N2" s="2">
        <v>45723</v>
      </c>
      <c r="O2">
        <v>0.29499999999999998</v>
      </c>
      <c r="P2" s="17">
        <v>0</v>
      </c>
      <c r="Q2" s="17">
        <v>0</v>
      </c>
      <c r="R2">
        <v>0</v>
      </c>
      <c r="S2" s="17">
        <f>Q2-R2</f>
        <v>0</v>
      </c>
      <c r="T2">
        <v>0</v>
      </c>
      <c r="U2">
        <v>0</v>
      </c>
      <c r="V2">
        <v>0.29499999999999998</v>
      </c>
      <c r="W2" s="17">
        <f>O2-(R2+S2+T2+U2+V2)</f>
        <v>0</v>
      </c>
      <c r="X2" s="2">
        <v>46230</v>
      </c>
      <c r="Y2" t="s">
        <v>1017</v>
      </c>
      <c r="Z2"/>
      <c r="AA2"/>
      <c r="AB2"/>
      <c r="AC2"/>
    </row>
    <row r="3" spans="1:29" ht="15.75" customHeight="1" x14ac:dyDescent="0.2">
      <c r="A3" t="s">
        <v>24</v>
      </c>
      <c r="B3" t="s">
        <v>25</v>
      </c>
      <c r="C3" t="s">
        <v>417</v>
      </c>
      <c r="D3" t="s">
        <v>418</v>
      </c>
      <c r="E3" t="s">
        <v>28</v>
      </c>
      <c r="F3" t="s">
        <v>28</v>
      </c>
      <c r="H3" s="1" t="s">
        <v>419</v>
      </c>
      <c r="I3" s="12" t="s">
        <v>420</v>
      </c>
      <c r="J3" s="3" t="s">
        <v>151</v>
      </c>
      <c r="K3">
        <v>3.9E-2</v>
      </c>
      <c r="L3">
        <v>3.9E-2</v>
      </c>
      <c r="M3" s="2">
        <v>45565</v>
      </c>
      <c r="N3" s="2">
        <v>45929</v>
      </c>
      <c r="O3" s="17">
        <v>3.9E-2</v>
      </c>
      <c r="P3" s="17">
        <v>0</v>
      </c>
      <c r="Q3" s="17">
        <v>0</v>
      </c>
      <c r="R3">
        <v>0</v>
      </c>
      <c r="S3">
        <v>0</v>
      </c>
      <c r="T3">
        <v>3.9E-2</v>
      </c>
      <c r="U3">
        <v>0</v>
      </c>
      <c r="V3">
        <v>0</v>
      </c>
      <c r="W3">
        <v>0</v>
      </c>
      <c r="X3" s="2">
        <v>46230</v>
      </c>
    </row>
    <row r="4" spans="1:29" s="24" customFormat="1" ht="15.75" customHeight="1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28</v>
      </c>
      <c r="G4"/>
      <c r="H4" s="7" t="s">
        <v>29</v>
      </c>
      <c r="I4" s="11" t="s">
        <v>30</v>
      </c>
      <c r="J4" s="3" t="s">
        <v>31</v>
      </c>
      <c r="K4">
        <v>272.60000000000002</v>
      </c>
      <c r="L4">
        <v>275.89999999999998</v>
      </c>
      <c r="M4" s="2">
        <v>43209</v>
      </c>
      <c r="N4" s="2">
        <v>45034</v>
      </c>
      <c r="O4" s="17">
        <v>95.89</v>
      </c>
      <c r="P4" s="17">
        <v>0</v>
      </c>
      <c r="Q4" s="17">
        <v>0</v>
      </c>
      <c r="R4">
        <v>0</v>
      </c>
      <c r="S4" s="17">
        <f>Q4-R4</f>
        <v>0</v>
      </c>
      <c r="T4">
        <v>-0.05</v>
      </c>
      <c r="U4">
        <v>-3.069</v>
      </c>
      <c r="V4">
        <v>12.907999999999999</v>
      </c>
      <c r="W4" s="17">
        <f>O4-(R4+S4+T4+U4+V4)</f>
        <v>86.100999999999999</v>
      </c>
      <c r="X4" s="2">
        <v>46230</v>
      </c>
      <c r="Y4"/>
      <c r="Z4"/>
      <c r="AA4"/>
      <c r="AB4"/>
      <c r="AC4"/>
    </row>
    <row r="5" spans="1:29" s="24" customFormat="1" ht="15.75" customHeight="1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/>
      <c r="H5" s="7" t="s">
        <v>743</v>
      </c>
      <c r="I5" s="11" t="s">
        <v>744</v>
      </c>
      <c r="J5" s="3" t="s">
        <v>31</v>
      </c>
      <c r="K5">
        <v>211.7</v>
      </c>
      <c r="L5">
        <v>220.2</v>
      </c>
      <c r="M5" s="2">
        <v>41201</v>
      </c>
      <c r="N5" s="2">
        <v>45549</v>
      </c>
      <c r="O5" s="17">
        <v>-5.6349999999999998</v>
      </c>
      <c r="P5" s="17">
        <v>0</v>
      </c>
      <c r="Q5" s="17">
        <v>0</v>
      </c>
      <c r="R5">
        <v>0</v>
      </c>
      <c r="S5" s="17">
        <f>Q5-R5</f>
        <v>0</v>
      </c>
      <c r="T5">
        <v>-1.0069999999999999</v>
      </c>
      <c r="U5">
        <v>-3.38</v>
      </c>
      <c r="V5">
        <v>-0.74399999999999999</v>
      </c>
      <c r="W5" s="17">
        <f>O5-(R5+S5+T5+U5+V5)</f>
        <v>-0.50400000000000045</v>
      </c>
      <c r="X5" s="2">
        <v>46230</v>
      </c>
      <c r="Y5"/>
      <c r="Z5"/>
      <c r="AA5"/>
      <c r="AB5"/>
      <c r="AC5"/>
    </row>
    <row r="6" spans="1:29" ht="15.75" customHeight="1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28</v>
      </c>
      <c r="H6" s="7" t="s">
        <v>745</v>
      </c>
      <c r="I6" s="11" t="s">
        <v>746</v>
      </c>
      <c r="J6" s="3" t="s">
        <v>31</v>
      </c>
      <c r="K6">
        <v>562.9</v>
      </c>
      <c r="L6">
        <v>793.1</v>
      </c>
      <c r="M6" s="2">
        <v>44652</v>
      </c>
      <c r="O6" s="17">
        <v>588.29999999999995</v>
      </c>
      <c r="P6" s="17">
        <v>379.49099999999999</v>
      </c>
      <c r="Q6" s="17">
        <v>379.49099999999999</v>
      </c>
      <c r="R6">
        <v>313.89699999999999</v>
      </c>
      <c r="S6" s="17">
        <f>Q6-R6</f>
        <v>65.593999999999994</v>
      </c>
      <c r="T6">
        <v>81.881</v>
      </c>
      <c r="U6">
        <v>70.299000000000007</v>
      </c>
      <c r="V6">
        <v>56.655999999999999</v>
      </c>
      <c r="W6" s="17">
        <v>0</v>
      </c>
      <c r="X6" s="2">
        <v>46230</v>
      </c>
      <c r="Y6" s="7" t="s">
        <v>1018</v>
      </c>
    </row>
    <row r="7" spans="1:29" ht="15.75" customHeight="1" x14ac:dyDescent="0.2">
      <c r="A7" t="s">
        <v>24</v>
      </c>
      <c r="B7" t="s">
        <v>25</v>
      </c>
      <c r="C7" t="s">
        <v>127</v>
      </c>
      <c r="D7" t="s">
        <v>128</v>
      </c>
      <c r="E7" t="s">
        <v>28</v>
      </c>
      <c r="F7" t="s">
        <v>28</v>
      </c>
      <c r="H7" s="7" t="s">
        <v>129</v>
      </c>
      <c r="I7" s="12" t="s">
        <v>130</v>
      </c>
      <c r="J7" s="3" t="s">
        <v>40</v>
      </c>
      <c r="K7">
        <v>13.2</v>
      </c>
      <c r="L7">
        <v>15.2</v>
      </c>
      <c r="M7" s="2">
        <v>44682</v>
      </c>
      <c r="O7" s="17">
        <v>13.2</v>
      </c>
      <c r="P7" s="17">
        <v>5.8970000000000002</v>
      </c>
      <c r="Q7" s="17">
        <v>5.8970000000000002</v>
      </c>
      <c r="R7">
        <v>3.0979999999999999</v>
      </c>
      <c r="S7">
        <v>2.7989999999999999</v>
      </c>
      <c r="T7">
        <v>2.4420000000000002</v>
      </c>
      <c r="U7">
        <v>2.1949999999999998</v>
      </c>
      <c r="V7">
        <v>2.6909999999999998</v>
      </c>
      <c r="W7">
        <v>0</v>
      </c>
      <c r="X7" s="2">
        <v>46230</v>
      </c>
    </row>
    <row r="8" spans="1:29" ht="15.75" customHeight="1" x14ac:dyDescent="0.2">
      <c r="A8" t="s">
        <v>24</v>
      </c>
      <c r="B8" t="s">
        <v>25</v>
      </c>
      <c r="C8" t="s">
        <v>374</v>
      </c>
      <c r="D8" t="s">
        <v>375</v>
      </c>
      <c r="E8" t="s">
        <v>44</v>
      </c>
      <c r="F8" t="s">
        <v>44</v>
      </c>
      <c r="H8" s="7" t="s">
        <v>376</v>
      </c>
      <c r="I8" s="11" t="s">
        <v>377</v>
      </c>
      <c r="J8" s="3" t="s">
        <v>151</v>
      </c>
      <c r="K8">
        <v>4.8000000000000001E-2</v>
      </c>
      <c r="L8">
        <v>4.8000000000000001E-2</v>
      </c>
      <c r="M8" s="2">
        <v>45020</v>
      </c>
      <c r="N8" s="2">
        <v>45172</v>
      </c>
      <c r="O8">
        <v>4.8000000000000001E-2</v>
      </c>
      <c r="P8" s="17">
        <v>0</v>
      </c>
      <c r="Q8" s="17">
        <v>0</v>
      </c>
      <c r="R8">
        <v>0</v>
      </c>
      <c r="S8" s="17">
        <v>0</v>
      </c>
      <c r="T8">
        <v>0</v>
      </c>
      <c r="U8">
        <v>4.8000000000000001E-2</v>
      </c>
      <c r="V8">
        <v>0</v>
      </c>
      <c r="W8" s="17">
        <v>0</v>
      </c>
      <c r="X8" s="2">
        <v>46230</v>
      </c>
    </row>
    <row r="9" spans="1:29" ht="15.75" customHeight="1" x14ac:dyDescent="0.2">
      <c r="A9" t="s">
        <v>24</v>
      </c>
      <c r="B9" t="s">
        <v>25</v>
      </c>
      <c r="C9" t="s">
        <v>374</v>
      </c>
      <c r="D9" t="s">
        <v>375</v>
      </c>
      <c r="E9" t="s">
        <v>44</v>
      </c>
      <c r="F9" t="s">
        <v>44</v>
      </c>
      <c r="H9" s="7" t="s">
        <v>433</v>
      </c>
      <c r="I9" s="11" t="s">
        <v>434</v>
      </c>
      <c r="J9" s="3" t="s">
        <v>151</v>
      </c>
      <c r="K9">
        <v>1.6E-2</v>
      </c>
      <c r="L9">
        <v>1.6E-2</v>
      </c>
      <c r="M9" s="2">
        <v>44832</v>
      </c>
      <c r="N9" s="2">
        <v>44985</v>
      </c>
      <c r="O9">
        <v>1.6E-2</v>
      </c>
      <c r="P9" s="17">
        <v>0</v>
      </c>
      <c r="Q9" s="17">
        <v>0</v>
      </c>
      <c r="R9">
        <v>0</v>
      </c>
      <c r="S9" s="17">
        <v>0</v>
      </c>
      <c r="T9">
        <v>0</v>
      </c>
      <c r="U9">
        <v>0</v>
      </c>
      <c r="V9">
        <v>1.6E-2</v>
      </c>
      <c r="W9" s="17">
        <v>0</v>
      </c>
      <c r="X9" s="2">
        <v>46230</v>
      </c>
    </row>
    <row r="10" spans="1:29" ht="15.75" customHeight="1" x14ac:dyDescent="0.2">
      <c r="A10" t="s">
        <v>24</v>
      </c>
      <c r="B10" t="s">
        <v>25</v>
      </c>
      <c r="C10" t="s">
        <v>374</v>
      </c>
      <c r="D10" t="s">
        <v>375</v>
      </c>
      <c r="E10" t="s">
        <v>28</v>
      </c>
      <c r="F10" t="s">
        <v>28</v>
      </c>
      <c r="H10" s="7" t="s">
        <v>435</v>
      </c>
      <c r="I10" s="11" t="s">
        <v>436</v>
      </c>
      <c r="J10" s="3" t="s">
        <v>151</v>
      </c>
      <c r="K10">
        <v>0.02</v>
      </c>
      <c r="L10">
        <v>0.02</v>
      </c>
      <c r="M10" s="2">
        <v>44827</v>
      </c>
      <c r="N10" s="2">
        <v>44988</v>
      </c>
      <c r="O10">
        <v>0.02</v>
      </c>
      <c r="P10" s="17">
        <v>0</v>
      </c>
      <c r="Q10" s="17">
        <v>0</v>
      </c>
      <c r="R10">
        <v>0</v>
      </c>
      <c r="S10" s="17">
        <v>0</v>
      </c>
      <c r="T10">
        <v>0</v>
      </c>
      <c r="U10">
        <v>0</v>
      </c>
      <c r="V10">
        <v>0.02</v>
      </c>
      <c r="W10" s="17">
        <v>0</v>
      </c>
      <c r="X10" s="2">
        <v>46230</v>
      </c>
    </row>
    <row r="11" spans="1:29" ht="15.75" customHeight="1" x14ac:dyDescent="0.2">
      <c r="A11" t="s">
        <v>24</v>
      </c>
      <c r="B11" t="s">
        <v>25</v>
      </c>
      <c r="C11" t="s">
        <v>374</v>
      </c>
      <c r="D11" t="s">
        <v>375</v>
      </c>
      <c r="E11" t="s">
        <v>28</v>
      </c>
      <c r="F11" t="s">
        <v>28</v>
      </c>
      <c r="H11" s="7" t="s">
        <v>437</v>
      </c>
      <c r="I11" s="11" t="s">
        <v>436</v>
      </c>
      <c r="J11" s="3" t="s">
        <v>151</v>
      </c>
      <c r="K11">
        <v>0.02</v>
      </c>
      <c r="L11">
        <v>0.02</v>
      </c>
      <c r="M11" s="2">
        <v>44827</v>
      </c>
      <c r="N11" s="2">
        <v>44988</v>
      </c>
      <c r="O11">
        <v>0.02</v>
      </c>
      <c r="P11" s="17">
        <v>0</v>
      </c>
      <c r="Q11" s="17">
        <v>0</v>
      </c>
      <c r="R11">
        <v>0</v>
      </c>
      <c r="S11" s="17">
        <v>0</v>
      </c>
      <c r="T11">
        <v>0</v>
      </c>
      <c r="U11">
        <v>0</v>
      </c>
      <c r="V11">
        <v>0.02</v>
      </c>
      <c r="W11" s="17">
        <v>0</v>
      </c>
      <c r="X11" s="2">
        <v>46230</v>
      </c>
    </row>
    <row r="12" spans="1:29" ht="15.75" customHeight="1" x14ac:dyDescent="0.2">
      <c r="A12" t="s">
        <v>24</v>
      </c>
      <c r="B12" t="s">
        <v>25</v>
      </c>
      <c r="C12" t="s">
        <v>374</v>
      </c>
      <c r="D12" t="s">
        <v>375</v>
      </c>
      <c r="E12" t="s">
        <v>44</v>
      </c>
      <c r="F12" t="s">
        <v>44</v>
      </c>
      <c r="H12" s="7" t="s">
        <v>438</v>
      </c>
      <c r="I12" s="11" t="s">
        <v>439</v>
      </c>
      <c r="J12" s="3" t="s">
        <v>151</v>
      </c>
      <c r="K12">
        <v>0.02</v>
      </c>
      <c r="L12">
        <v>0.02</v>
      </c>
      <c r="M12" s="2">
        <v>44819</v>
      </c>
      <c r="N12" s="2">
        <v>44972</v>
      </c>
      <c r="O12">
        <v>0.02</v>
      </c>
      <c r="P12" s="17">
        <v>0</v>
      </c>
      <c r="Q12" s="17">
        <v>0</v>
      </c>
      <c r="R12">
        <v>0</v>
      </c>
      <c r="S12" s="17">
        <v>0</v>
      </c>
      <c r="T12">
        <v>0</v>
      </c>
      <c r="U12">
        <v>0</v>
      </c>
      <c r="V12">
        <v>0.02</v>
      </c>
      <c r="W12" s="17">
        <v>0</v>
      </c>
      <c r="X12" s="2">
        <v>46230</v>
      </c>
    </row>
    <row r="13" spans="1:29" ht="15.75" customHeight="1" x14ac:dyDescent="0.2">
      <c r="A13" t="s">
        <v>24</v>
      </c>
      <c r="B13" t="s">
        <v>25</v>
      </c>
      <c r="C13" t="s">
        <v>374</v>
      </c>
      <c r="D13" t="s">
        <v>375</v>
      </c>
      <c r="E13" t="s">
        <v>44</v>
      </c>
      <c r="F13" t="s">
        <v>44</v>
      </c>
      <c r="H13" s="7" t="s">
        <v>440</v>
      </c>
      <c r="I13" s="11" t="s">
        <v>441</v>
      </c>
      <c r="J13" s="3" t="s">
        <v>151</v>
      </c>
      <c r="K13">
        <v>1.6E-2</v>
      </c>
      <c r="L13">
        <v>1.6E-2</v>
      </c>
      <c r="M13" s="2">
        <v>44819</v>
      </c>
      <c r="N13" s="2">
        <v>44972</v>
      </c>
      <c r="O13">
        <v>1.6E-2</v>
      </c>
      <c r="P13" s="17">
        <v>0</v>
      </c>
      <c r="Q13" s="17">
        <v>0</v>
      </c>
      <c r="R13">
        <v>0</v>
      </c>
      <c r="S13" s="17">
        <v>0</v>
      </c>
      <c r="T13">
        <v>0</v>
      </c>
      <c r="U13">
        <v>0</v>
      </c>
      <c r="V13">
        <v>1.6E-2</v>
      </c>
      <c r="W13" s="17">
        <v>0</v>
      </c>
      <c r="X13" s="2">
        <v>46230</v>
      </c>
    </row>
    <row r="14" spans="1:29" ht="15.75" customHeight="1" x14ac:dyDescent="0.2">
      <c r="A14" t="s">
        <v>24</v>
      </c>
      <c r="B14" t="s">
        <v>25</v>
      </c>
      <c r="C14" t="s">
        <v>374</v>
      </c>
      <c r="D14" t="s">
        <v>375</v>
      </c>
      <c r="E14" t="s">
        <v>44</v>
      </c>
      <c r="F14" t="s">
        <v>44</v>
      </c>
      <c r="H14" s="7" t="s">
        <v>442</v>
      </c>
      <c r="I14" s="11" t="s">
        <v>443</v>
      </c>
      <c r="J14" s="3" t="s">
        <v>151</v>
      </c>
      <c r="K14">
        <v>1.6E-2</v>
      </c>
      <c r="L14">
        <v>1.6E-2</v>
      </c>
      <c r="M14" s="2">
        <v>44819</v>
      </c>
      <c r="N14" s="2">
        <v>44972</v>
      </c>
      <c r="O14">
        <v>1.6E-2</v>
      </c>
      <c r="P14" s="17">
        <v>0</v>
      </c>
      <c r="Q14" s="17">
        <v>0</v>
      </c>
      <c r="R14">
        <v>0</v>
      </c>
      <c r="S14" s="17">
        <v>0</v>
      </c>
      <c r="T14">
        <v>0</v>
      </c>
      <c r="U14">
        <v>0</v>
      </c>
      <c r="V14">
        <v>1.6E-2</v>
      </c>
      <c r="W14" s="17">
        <v>0</v>
      </c>
      <c r="X14" s="2">
        <v>46230</v>
      </c>
    </row>
    <row r="15" spans="1:29" ht="15.75" customHeight="1" x14ac:dyDescent="0.2">
      <c r="A15" t="s">
        <v>24</v>
      </c>
      <c r="B15" t="s">
        <v>25</v>
      </c>
      <c r="C15" t="s">
        <v>374</v>
      </c>
      <c r="D15" t="s">
        <v>375</v>
      </c>
      <c r="E15" t="s">
        <v>28</v>
      </c>
      <c r="F15" t="s">
        <v>28</v>
      </c>
      <c r="H15" s="7" t="s">
        <v>444</v>
      </c>
      <c r="I15" s="11" t="s">
        <v>445</v>
      </c>
      <c r="J15" s="3" t="s">
        <v>151</v>
      </c>
      <c r="K15">
        <v>0.02</v>
      </c>
      <c r="L15">
        <v>0.02</v>
      </c>
      <c r="M15" s="2">
        <v>44727</v>
      </c>
      <c r="N15" s="2">
        <v>45385</v>
      </c>
      <c r="O15">
        <v>0.02</v>
      </c>
      <c r="P15" s="17">
        <v>0</v>
      </c>
      <c r="Q15" s="17">
        <v>0</v>
      </c>
      <c r="R15">
        <v>0</v>
      </c>
      <c r="S15" s="17">
        <v>0</v>
      </c>
      <c r="T15">
        <v>-8.0000000000000002E-3</v>
      </c>
      <c r="U15">
        <v>0</v>
      </c>
      <c r="V15">
        <v>2.8000000000000001E-2</v>
      </c>
      <c r="W15" s="17">
        <v>0</v>
      </c>
      <c r="X15" s="2">
        <v>46230</v>
      </c>
    </row>
    <row r="16" spans="1:29" ht="15.75" customHeight="1" x14ac:dyDescent="0.2">
      <c r="A16" t="s">
        <v>24</v>
      </c>
      <c r="B16" t="s">
        <v>25</v>
      </c>
      <c r="C16" t="s">
        <v>374</v>
      </c>
      <c r="D16" t="s">
        <v>375</v>
      </c>
      <c r="E16" t="s">
        <v>44</v>
      </c>
      <c r="F16" t="s">
        <v>44</v>
      </c>
      <c r="H16" s="7" t="s">
        <v>446</v>
      </c>
      <c r="I16" s="11" t="s">
        <v>447</v>
      </c>
      <c r="J16" s="3" t="s">
        <v>151</v>
      </c>
      <c r="K16">
        <v>2.1000000000000001E-2</v>
      </c>
      <c r="L16">
        <v>2.1000000000000001E-2</v>
      </c>
      <c r="M16" s="2">
        <v>44659</v>
      </c>
      <c r="N16" s="2">
        <v>44841</v>
      </c>
      <c r="O16">
        <v>2.1000000000000001E-2</v>
      </c>
      <c r="P16" s="17">
        <v>0</v>
      </c>
      <c r="Q16" s="17">
        <v>0</v>
      </c>
      <c r="R16">
        <v>0</v>
      </c>
      <c r="S16" s="17">
        <v>0</v>
      </c>
      <c r="T16">
        <v>0</v>
      </c>
      <c r="U16">
        <v>0</v>
      </c>
      <c r="V16">
        <v>2.1000000000000001E-2</v>
      </c>
      <c r="W16" s="17">
        <v>0</v>
      </c>
      <c r="X16" s="2">
        <v>46230</v>
      </c>
    </row>
    <row r="17" spans="1:29" ht="15.75" customHeight="1" x14ac:dyDescent="0.2">
      <c r="A17" t="s">
        <v>24</v>
      </c>
      <c r="B17" t="s">
        <v>25</v>
      </c>
      <c r="C17" t="s">
        <v>417</v>
      </c>
      <c r="D17" t="s">
        <v>375</v>
      </c>
      <c r="E17" t="s">
        <v>28</v>
      </c>
      <c r="F17" t="s">
        <v>28</v>
      </c>
      <c r="H17" s="1" t="s">
        <v>545</v>
      </c>
      <c r="I17" s="12" t="s">
        <v>546</v>
      </c>
      <c r="J17" s="3" t="s">
        <v>151</v>
      </c>
      <c r="K17">
        <v>2.5000000000000001E-2</v>
      </c>
      <c r="L17">
        <v>2.5000000000000001E-2</v>
      </c>
      <c r="M17" s="2">
        <v>45545</v>
      </c>
      <c r="N17" s="2">
        <v>45626</v>
      </c>
      <c r="O17" s="17">
        <v>2.5000000000000001E-2</v>
      </c>
      <c r="P17" s="17">
        <v>0</v>
      </c>
      <c r="Q17" s="17">
        <v>0</v>
      </c>
      <c r="R17">
        <v>0</v>
      </c>
      <c r="S17">
        <v>0</v>
      </c>
      <c r="T17">
        <v>2.5000000000000001E-2</v>
      </c>
      <c r="U17">
        <v>0</v>
      </c>
      <c r="V17">
        <v>0</v>
      </c>
      <c r="W17">
        <v>0</v>
      </c>
      <c r="X17" s="2">
        <v>46230</v>
      </c>
    </row>
    <row r="18" spans="1:29" s="26" customFormat="1" ht="15.75" customHeight="1" x14ac:dyDescent="0.2">
      <c r="A18" t="s">
        <v>24</v>
      </c>
      <c r="B18" t="s">
        <v>25</v>
      </c>
      <c r="C18" t="s">
        <v>147</v>
      </c>
      <c r="D18" t="s">
        <v>414</v>
      </c>
      <c r="E18" t="s">
        <v>28</v>
      </c>
      <c r="F18" t="s">
        <v>28</v>
      </c>
      <c r="G18"/>
      <c r="H18" s="7" t="s">
        <v>415</v>
      </c>
      <c r="I18" s="11" t="s">
        <v>416</v>
      </c>
      <c r="J18" s="3" t="s">
        <v>122</v>
      </c>
      <c r="K18">
        <v>4.3099999999999999E-2</v>
      </c>
      <c r="L18">
        <v>5</v>
      </c>
      <c r="M18" s="2">
        <v>45540</v>
      </c>
      <c r="N18"/>
      <c r="O18">
        <v>4.3099999999999999E-2</v>
      </c>
      <c r="P18" s="17">
        <v>0</v>
      </c>
      <c r="Q18" s="17">
        <v>0</v>
      </c>
      <c r="R18">
        <v>0</v>
      </c>
      <c r="S18" s="17">
        <f>Q18-R18</f>
        <v>0</v>
      </c>
      <c r="T18">
        <v>4.2999999999999997E-2</v>
      </c>
      <c r="U18">
        <v>0</v>
      </c>
      <c r="V18">
        <v>0</v>
      </c>
      <c r="W18" s="17">
        <f>O18-(R18+S18+T18+U18+V18)</f>
        <v>1.0000000000000286E-4</v>
      </c>
      <c r="X18" s="2">
        <v>46230</v>
      </c>
      <c r="Y18" s="7" t="s">
        <v>1019</v>
      </c>
      <c r="Z18"/>
      <c r="AA18"/>
      <c r="AB18"/>
      <c r="AC18"/>
    </row>
    <row r="19" spans="1:29" ht="15.75" customHeight="1" x14ac:dyDescent="0.2">
      <c r="A19" t="s">
        <v>24</v>
      </c>
      <c r="B19" t="s">
        <v>25</v>
      </c>
      <c r="C19" t="s">
        <v>147</v>
      </c>
      <c r="D19" t="s">
        <v>148</v>
      </c>
      <c r="E19" t="s">
        <v>28</v>
      </c>
      <c r="F19" t="s">
        <v>28</v>
      </c>
      <c r="H19" s="1" t="s">
        <v>149</v>
      </c>
      <c r="I19" s="12" t="s">
        <v>150</v>
      </c>
      <c r="J19" s="3" t="s">
        <v>151</v>
      </c>
      <c r="K19">
        <v>0.14599999999999999</v>
      </c>
      <c r="L19">
        <v>0.14599999999999999</v>
      </c>
      <c r="M19" s="2">
        <v>45531</v>
      </c>
      <c r="N19" s="2">
        <v>45590</v>
      </c>
      <c r="O19" s="17">
        <v>0.14599999999999999</v>
      </c>
      <c r="P19" s="17">
        <v>0</v>
      </c>
      <c r="Q19" s="17">
        <v>0</v>
      </c>
      <c r="R19">
        <v>0</v>
      </c>
      <c r="S19">
        <v>0</v>
      </c>
      <c r="T19">
        <v>0.14599999999999999</v>
      </c>
      <c r="U19">
        <v>0</v>
      </c>
      <c r="V19">
        <v>0</v>
      </c>
      <c r="W19">
        <v>0</v>
      </c>
      <c r="X19" s="2">
        <v>46230</v>
      </c>
    </row>
    <row r="20" spans="1:29" ht="15.75" customHeight="1" x14ac:dyDescent="0.2">
      <c r="A20" t="s">
        <v>24</v>
      </c>
      <c r="B20" t="s">
        <v>25</v>
      </c>
      <c r="C20" t="s">
        <v>147</v>
      </c>
      <c r="D20" t="s">
        <v>148</v>
      </c>
      <c r="E20" t="s">
        <v>28</v>
      </c>
      <c r="F20" t="s">
        <v>28</v>
      </c>
      <c r="H20" s="1" t="s">
        <v>924</v>
      </c>
      <c r="I20" s="12" t="s">
        <v>925</v>
      </c>
      <c r="J20" s="3" t="s">
        <v>151</v>
      </c>
      <c r="K20">
        <v>2.5999999999999999E-2</v>
      </c>
      <c r="L20">
        <v>2.5999999999999999E-2</v>
      </c>
      <c r="M20" s="2">
        <v>45505</v>
      </c>
      <c r="N20" s="2">
        <v>45702</v>
      </c>
      <c r="O20" s="17">
        <v>2.5999999999999999E-2</v>
      </c>
      <c r="P20" s="17">
        <v>0</v>
      </c>
      <c r="Q20" s="17">
        <v>1E-3</v>
      </c>
      <c r="R20">
        <v>0</v>
      </c>
      <c r="S20">
        <v>1E-3</v>
      </c>
      <c r="T20">
        <v>2.5000000000000001E-2</v>
      </c>
      <c r="U20">
        <v>0</v>
      </c>
      <c r="V20">
        <v>0</v>
      </c>
      <c r="W20">
        <v>0</v>
      </c>
      <c r="X20" s="2">
        <v>46230</v>
      </c>
    </row>
    <row r="21" spans="1:29" ht="15.75" customHeight="1" x14ac:dyDescent="0.2">
      <c r="A21" t="s">
        <v>24</v>
      </c>
      <c r="B21" t="s">
        <v>25</v>
      </c>
      <c r="C21" t="s">
        <v>147</v>
      </c>
      <c r="D21" t="s">
        <v>148</v>
      </c>
      <c r="E21" t="s">
        <v>28</v>
      </c>
      <c r="F21" t="s">
        <v>28</v>
      </c>
      <c r="H21" s="1" t="s">
        <v>926</v>
      </c>
      <c r="I21" s="12" t="s">
        <v>927</v>
      </c>
      <c r="J21" s="3" t="s">
        <v>151</v>
      </c>
      <c r="K21">
        <v>0.48699999999999999</v>
      </c>
      <c r="L21">
        <v>0.48699999999999999</v>
      </c>
      <c r="M21" s="2">
        <v>45198</v>
      </c>
      <c r="N21" s="2">
        <v>45198</v>
      </c>
      <c r="O21" s="17">
        <v>0.48699999999999999</v>
      </c>
      <c r="P21" s="17">
        <v>0</v>
      </c>
      <c r="Q21" s="17">
        <v>0</v>
      </c>
      <c r="R21">
        <v>0</v>
      </c>
      <c r="S21">
        <v>0</v>
      </c>
      <c r="T21">
        <v>0</v>
      </c>
      <c r="U21">
        <v>0.48699999999999999</v>
      </c>
      <c r="V21">
        <v>0</v>
      </c>
      <c r="W21">
        <v>0</v>
      </c>
      <c r="X21" s="2">
        <v>46230</v>
      </c>
    </row>
    <row r="22" spans="1:29" ht="15.75" customHeight="1" x14ac:dyDescent="0.2">
      <c r="A22" t="s">
        <v>24</v>
      </c>
      <c r="B22" t="s">
        <v>25</v>
      </c>
      <c r="C22" t="s">
        <v>147</v>
      </c>
      <c r="D22" t="s">
        <v>148</v>
      </c>
      <c r="E22" t="s">
        <v>44</v>
      </c>
      <c r="F22" t="s">
        <v>44</v>
      </c>
      <c r="H22" s="1" t="s">
        <v>928</v>
      </c>
      <c r="I22" s="12" t="s">
        <v>929</v>
      </c>
      <c r="J22" s="3" t="s">
        <v>151</v>
      </c>
      <c r="K22">
        <v>0.02</v>
      </c>
      <c r="L22">
        <v>0.02</v>
      </c>
      <c r="M22" s="2">
        <v>45178</v>
      </c>
      <c r="N22" s="2">
        <v>45238</v>
      </c>
      <c r="O22" s="17">
        <v>0.02</v>
      </c>
      <c r="P22" s="17">
        <v>0</v>
      </c>
      <c r="Q22" s="17">
        <v>0</v>
      </c>
      <c r="R22">
        <v>0</v>
      </c>
      <c r="S22">
        <v>0</v>
      </c>
      <c r="T22">
        <v>0</v>
      </c>
      <c r="U22">
        <v>0.02</v>
      </c>
      <c r="V22">
        <v>0</v>
      </c>
      <c r="W22">
        <v>0</v>
      </c>
      <c r="X22" s="2">
        <v>46230</v>
      </c>
    </row>
    <row r="23" spans="1:29" ht="15.75" customHeight="1" x14ac:dyDescent="0.2">
      <c r="A23" t="s">
        <v>24</v>
      </c>
      <c r="B23" t="s">
        <v>25</v>
      </c>
      <c r="C23" t="s">
        <v>147</v>
      </c>
      <c r="D23" t="s">
        <v>148</v>
      </c>
      <c r="E23" t="s">
        <v>28</v>
      </c>
      <c r="F23" t="s">
        <v>28</v>
      </c>
      <c r="H23" s="1" t="s">
        <v>930</v>
      </c>
      <c r="I23" s="12" t="s">
        <v>931</v>
      </c>
      <c r="J23" s="3" t="s">
        <v>151</v>
      </c>
      <c r="K23">
        <v>1.2</v>
      </c>
      <c r="L23">
        <v>1.2</v>
      </c>
      <c r="M23" s="2">
        <v>44834</v>
      </c>
      <c r="N23" s="2">
        <v>45198</v>
      </c>
      <c r="O23" s="17">
        <v>1.2</v>
      </c>
      <c r="P23" s="17">
        <v>0</v>
      </c>
      <c r="Q23" s="17">
        <v>0</v>
      </c>
      <c r="R23">
        <v>0</v>
      </c>
      <c r="S23">
        <v>0</v>
      </c>
      <c r="T23">
        <v>0</v>
      </c>
      <c r="U23">
        <v>0</v>
      </c>
      <c r="V23">
        <v>1.2</v>
      </c>
      <c r="W23">
        <v>0</v>
      </c>
      <c r="X23" s="2">
        <v>46230</v>
      </c>
    </row>
    <row r="24" spans="1:29" ht="15.75" customHeight="1" x14ac:dyDescent="0.2">
      <c r="A24" t="s">
        <v>24</v>
      </c>
      <c r="B24" t="s">
        <v>25</v>
      </c>
      <c r="C24" t="s">
        <v>147</v>
      </c>
      <c r="D24" t="s">
        <v>148</v>
      </c>
      <c r="E24" t="s">
        <v>28</v>
      </c>
      <c r="F24" t="s">
        <v>28</v>
      </c>
      <c r="H24" s="1" t="s">
        <v>932</v>
      </c>
      <c r="I24" s="12" t="s">
        <v>933</v>
      </c>
      <c r="J24" s="3" t="s">
        <v>151</v>
      </c>
      <c r="K24">
        <v>0.191</v>
      </c>
      <c r="L24">
        <v>0.191</v>
      </c>
      <c r="M24" s="2">
        <v>44802</v>
      </c>
      <c r="N24" s="28">
        <v>44848</v>
      </c>
      <c r="O24" s="17">
        <v>0.191</v>
      </c>
      <c r="P24" s="17">
        <v>0</v>
      </c>
      <c r="Q24" s="17">
        <v>0</v>
      </c>
      <c r="R24">
        <v>0</v>
      </c>
      <c r="S24">
        <v>0</v>
      </c>
      <c r="T24">
        <v>0</v>
      </c>
      <c r="U24">
        <v>0</v>
      </c>
      <c r="V24">
        <v>0.191</v>
      </c>
      <c r="W24">
        <v>0</v>
      </c>
      <c r="X24" s="2">
        <v>46230</v>
      </c>
    </row>
    <row r="25" spans="1:29" ht="15.75" customHeight="1" x14ac:dyDescent="0.2">
      <c r="A25" t="s">
        <v>24</v>
      </c>
      <c r="B25" t="s">
        <v>25</v>
      </c>
      <c r="C25" t="s">
        <v>147</v>
      </c>
      <c r="D25" t="s">
        <v>148</v>
      </c>
      <c r="E25" t="s">
        <v>28</v>
      </c>
      <c r="F25" t="s">
        <v>28</v>
      </c>
      <c r="H25" s="1" t="s">
        <v>934</v>
      </c>
      <c r="I25" s="12" t="s">
        <v>935</v>
      </c>
      <c r="J25" s="3" t="s">
        <v>151</v>
      </c>
      <c r="K25">
        <v>2.4E-2</v>
      </c>
      <c r="L25">
        <v>2.4E-2</v>
      </c>
      <c r="M25" s="2">
        <v>46056</v>
      </c>
      <c r="N25" s="2">
        <v>46178</v>
      </c>
      <c r="O25" s="17">
        <v>2.4E-2</v>
      </c>
      <c r="P25" s="17">
        <v>2.4E-2</v>
      </c>
      <c r="Q25" s="17">
        <v>2.4E-2</v>
      </c>
      <c r="R25">
        <v>2.4E-2</v>
      </c>
      <c r="S25">
        <v>0</v>
      </c>
      <c r="T25">
        <v>0</v>
      </c>
      <c r="U25">
        <v>0</v>
      </c>
      <c r="V25">
        <v>0</v>
      </c>
      <c r="W25">
        <v>0</v>
      </c>
      <c r="X25" s="2">
        <v>46230</v>
      </c>
    </row>
    <row r="26" spans="1:29" ht="15.75" customHeight="1" x14ac:dyDescent="0.2">
      <c r="A26" t="s">
        <v>24</v>
      </c>
      <c r="B26" t="s">
        <v>25</v>
      </c>
      <c r="C26" t="s">
        <v>147</v>
      </c>
      <c r="D26" t="s">
        <v>148</v>
      </c>
      <c r="E26" t="s">
        <v>28</v>
      </c>
      <c r="F26" t="s">
        <v>28</v>
      </c>
      <c r="H26" s="1" t="s">
        <v>936</v>
      </c>
      <c r="I26" s="12" t="s">
        <v>937</v>
      </c>
      <c r="J26" s="3" t="s">
        <v>151</v>
      </c>
      <c r="K26">
        <v>6.4000000000000001E-2</v>
      </c>
      <c r="L26">
        <v>6.4000000000000001E-2</v>
      </c>
      <c r="M26" s="2">
        <v>45930</v>
      </c>
      <c r="N26" s="2">
        <v>46142</v>
      </c>
      <c r="O26" s="17">
        <v>6.4000000000000001E-2</v>
      </c>
      <c r="P26" s="17">
        <v>6.4000000000000001E-2</v>
      </c>
      <c r="Q26" s="17">
        <v>6.4000000000000001E-2</v>
      </c>
      <c r="R26">
        <v>0</v>
      </c>
      <c r="S26">
        <v>6.4000000000000001E-2</v>
      </c>
      <c r="T26">
        <v>0</v>
      </c>
      <c r="U26">
        <v>0</v>
      </c>
      <c r="V26">
        <v>0</v>
      </c>
      <c r="W26">
        <v>0</v>
      </c>
      <c r="X26" s="2">
        <v>46230</v>
      </c>
    </row>
    <row r="27" spans="1:29" ht="15.75" customHeight="1" x14ac:dyDescent="0.2">
      <c r="A27" t="s">
        <v>24</v>
      </c>
      <c r="B27" t="s">
        <v>25</v>
      </c>
      <c r="C27" t="s">
        <v>147</v>
      </c>
      <c r="D27" t="s">
        <v>148</v>
      </c>
      <c r="E27" t="s">
        <v>28</v>
      </c>
      <c r="F27" t="s">
        <v>28</v>
      </c>
      <c r="H27" s="1" t="s">
        <v>938</v>
      </c>
      <c r="I27" s="12" t="s">
        <v>939</v>
      </c>
      <c r="J27" s="3" t="s">
        <v>151</v>
      </c>
      <c r="K27">
        <v>4.2</v>
      </c>
      <c r="L27">
        <v>4.2</v>
      </c>
      <c r="M27" s="2">
        <v>45924</v>
      </c>
      <c r="N27" s="2">
        <v>46112</v>
      </c>
      <c r="O27" s="17">
        <v>4.2</v>
      </c>
      <c r="P27" s="17">
        <v>4.2</v>
      </c>
      <c r="Q27" s="17">
        <v>4.2</v>
      </c>
      <c r="R27">
        <v>0</v>
      </c>
      <c r="S27">
        <v>4.242</v>
      </c>
      <c r="T27">
        <v>0</v>
      </c>
      <c r="U27">
        <v>0</v>
      </c>
      <c r="V27">
        <v>0</v>
      </c>
      <c r="W27">
        <v>0</v>
      </c>
      <c r="X27" s="2">
        <v>46230</v>
      </c>
    </row>
    <row r="28" spans="1:29" ht="15.75" customHeight="1" x14ac:dyDescent="0.2">
      <c r="A28" t="s">
        <v>24</v>
      </c>
      <c r="B28" t="s">
        <v>25</v>
      </c>
      <c r="C28" t="s">
        <v>147</v>
      </c>
      <c r="D28" t="s">
        <v>148</v>
      </c>
      <c r="E28" t="s">
        <v>44</v>
      </c>
      <c r="F28" t="s">
        <v>44</v>
      </c>
      <c r="H28" s="1" t="s">
        <v>940</v>
      </c>
      <c r="I28" s="12" t="s">
        <v>941</v>
      </c>
      <c r="J28" s="3" t="s">
        <v>151</v>
      </c>
      <c r="K28">
        <v>8.4000000000000005E-2</v>
      </c>
      <c r="L28">
        <v>8.4000000000000005E-2</v>
      </c>
      <c r="M28" s="2">
        <v>45923</v>
      </c>
      <c r="N28" s="2">
        <v>46013</v>
      </c>
      <c r="O28" s="17">
        <v>8.4000000000000005E-2</v>
      </c>
      <c r="P28" s="17">
        <v>8.4000000000000005E-2</v>
      </c>
      <c r="Q28" s="17">
        <v>8.4000000000000005E-2</v>
      </c>
      <c r="R28">
        <v>0</v>
      </c>
      <c r="S28">
        <v>8.4000000000000005E-2</v>
      </c>
      <c r="T28">
        <v>0</v>
      </c>
      <c r="U28">
        <v>0</v>
      </c>
      <c r="V28">
        <v>0</v>
      </c>
      <c r="W28">
        <v>0</v>
      </c>
      <c r="X28" s="2">
        <v>46230</v>
      </c>
    </row>
    <row r="29" spans="1:29" ht="15.75" customHeight="1" x14ac:dyDescent="0.2">
      <c r="A29" t="s">
        <v>24</v>
      </c>
      <c r="B29" t="s">
        <v>25</v>
      </c>
      <c r="C29" t="s">
        <v>147</v>
      </c>
      <c r="D29" t="s">
        <v>148</v>
      </c>
      <c r="E29" t="s">
        <v>28</v>
      </c>
      <c r="F29" t="s">
        <v>28</v>
      </c>
      <c r="H29" s="1" t="s">
        <v>942</v>
      </c>
      <c r="I29" s="12" t="s">
        <v>943</v>
      </c>
      <c r="J29" s="3" t="s">
        <v>151</v>
      </c>
      <c r="K29">
        <v>2.7E-2</v>
      </c>
      <c r="L29">
        <v>2.7E-2</v>
      </c>
      <c r="M29" s="2">
        <v>45923</v>
      </c>
      <c r="N29" s="2">
        <v>45989</v>
      </c>
      <c r="O29" s="17">
        <v>2.3E-2</v>
      </c>
      <c r="P29" s="17">
        <v>2.3E-2</v>
      </c>
      <c r="Q29" s="17">
        <v>2.3E-2</v>
      </c>
      <c r="R29">
        <v>0</v>
      </c>
      <c r="S29">
        <v>2.3E-2</v>
      </c>
      <c r="T29">
        <v>0</v>
      </c>
      <c r="U29">
        <v>0</v>
      </c>
      <c r="V29">
        <v>0</v>
      </c>
      <c r="W29">
        <v>0</v>
      </c>
      <c r="X29" s="2">
        <v>46230</v>
      </c>
    </row>
    <row r="30" spans="1:29" ht="15.75" customHeight="1" x14ac:dyDescent="0.2">
      <c r="A30" t="s">
        <v>24</v>
      </c>
      <c r="B30" t="s">
        <v>25</v>
      </c>
      <c r="C30" t="s">
        <v>147</v>
      </c>
      <c r="D30" t="s">
        <v>148</v>
      </c>
      <c r="E30" t="s">
        <v>44</v>
      </c>
      <c r="F30" t="s">
        <v>44</v>
      </c>
      <c r="H30" s="1" t="s">
        <v>944</v>
      </c>
      <c r="I30" s="12" t="s">
        <v>941</v>
      </c>
      <c r="J30" s="3" t="s">
        <v>151</v>
      </c>
      <c r="K30">
        <v>0.51400000000000001</v>
      </c>
      <c r="L30">
        <v>0.51439999999999997</v>
      </c>
      <c r="M30" s="2">
        <v>45919</v>
      </c>
      <c r="N30" s="2">
        <v>46022</v>
      </c>
      <c r="O30" s="17">
        <v>0.51400000000000001</v>
      </c>
      <c r="P30" s="17">
        <v>0.51400000000000001</v>
      </c>
      <c r="Q30" s="17">
        <v>0.51400000000000001</v>
      </c>
      <c r="R30">
        <v>0</v>
      </c>
      <c r="S30">
        <v>0.51400000000000001</v>
      </c>
      <c r="T30">
        <v>0</v>
      </c>
      <c r="U30">
        <v>0</v>
      </c>
      <c r="V30">
        <v>0</v>
      </c>
      <c r="W30">
        <v>0</v>
      </c>
      <c r="X30" s="2">
        <v>46230</v>
      </c>
    </row>
    <row r="31" spans="1:29" ht="15.75" customHeight="1" x14ac:dyDescent="0.2">
      <c r="A31" t="s">
        <v>24</v>
      </c>
      <c r="B31" t="s">
        <v>25</v>
      </c>
      <c r="C31" t="s">
        <v>147</v>
      </c>
      <c r="D31" t="s">
        <v>148</v>
      </c>
      <c r="E31" t="s">
        <v>28</v>
      </c>
      <c r="F31" t="s">
        <v>28</v>
      </c>
      <c r="H31" s="1" t="s">
        <v>945</v>
      </c>
      <c r="I31" s="12" t="s">
        <v>946</v>
      </c>
      <c r="J31" s="3" t="s">
        <v>151</v>
      </c>
      <c r="K31">
        <v>0.16800000000000001</v>
      </c>
      <c r="L31">
        <v>0.16800000000000001</v>
      </c>
      <c r="M31" s="2">
        <v>45916</v>
      </c>
      <c r="N31" s="2">
        <v>46193</v>
      </c>
      <c r="O31" s="17">
        <v>0.16800000000000001</v>
      </c>
      <c r="P31" s="17">
        <v>0.16800000000000001</v>
      </c>
      <c r="Q31" s="17">
        <v>0.16800000000000001</v>
      </c>
      <c r="R31">
        <v>0</v>
      </c>
      <c r="S31">
        <v>0.16800000000000001</v>
      </c>
      <c r="T31">
        <v>0</v>
      </c>
      <c r="U31">
        <v>0</v>
      </c>
      <c r="V31">
        <v>0</v>
      </c>
      <c r="W31">
        <v>0</v>
      </c>
      <c r="X31" s="2">
        <v>46230</v>
      </c>
    </row>
    <row r="32" spans="1:29" ht="15.75" customHeight="1" x14ac:dyDescent="0.2">
      <c r="A32" t="s">
        <v>24</v>
      </c>
      <c r="B32" t="s">
        <v>25</v>
      </c>
      <c r="C32" t="s">
        <v>147</v>
      </c>
      <c r="D32" t="s">
        <v>148</v>
      </c>
      <c r="E32" t="s">
        <v>44</v>
      </c>
      <c r="F32" t="s">
        <v>44</v>
      </c>
      <c r="H32" s="1" t="s">
        <v>947</v>
      </c>
      <c r="I32" s="12" t="s">
        <v>941</v>
      </c>
      <c r="J32" s="3" t="s">
        <v>151</v>
      </c>
      <c r="K32">
        <v>2.5999999999999999E-2</v>
      </c>
      <c r="L32">
        <v>2.5999999999999999E-2</v>
      </c>
      <c r="M32" s="2">
        <v>45915</v>
      </c>
      <c r="N32" s="2">
        <v>46022</v>
      </c>
      <c r="O32" s="17">
        <v>2.5999999999999999E-2</v>
      </c>
      <c r="P32" s="17">
        <v>2.5999999999999999E-2</v>
      </c>
      <c r="Q32" s="17">
        <v>2.5999999999999999E-2</v>
      </c>
      <c r="R32">
        <v>0</v>
      </c>
      <c r="S32">
        <v>2.5999999999999999E-2</v>
      </c>
      <c r="T32">
        <v>0</v>
      </c>
      <c r="U32">
        <v>0</v>
      </c>
      <c r="V32">
        <v>0</v>
      </c>
      <c r="W32">
        <v>0</v>
      </c>
      <c r="X32" s="2">
        <v>46230</v>
      </c>
    </row>
    <row r="33" spans="1:24" ht="15.75" customHeight="1" x14ac:dyDescent="0.2">
      <c r="A33" t="s">
        <v>24</v>
      </c>
      <c r="B33" t="s">
        <v>25</v>
      </c>
      <c r="C33" t="s">
        <v>147</v>
      </c>
      <c r="D33" t="s">
        <v>148</v>
      </c>
      <c r="E33" t="s">
        <v>28</v>
      </c>
      <c r="F33" t="s">
        <v>28</v>
      </c>
      <c r="H33" s="1" t="s">
        <v>948</v>
      </c>
      <c r="I33" s="12" t="s">
        <v>946</v>
      </c>
      <c r="J33" s="3" t="s">
        <v>151</v>
      </c>
      <c r="K33">
        <v>0.6</v>
      </c>
      <c r="L33">
        <v>0.6</v>
      </c>
      <c r="M33" s="2">
        <v>45911</v>
      </c>
      <c r="N33" s="2">
        <v>45956</v>
      </c>
      <c r="O33" s="17">
        <v>0.6</v>
      </c>
      <c r="P33" s="17">
        <v>0.6</v>
      </c>
      <c r="Q33" s="17">
        <v>0.6</v>
      </c>
      <c r="R33">
        <v>0</v>
      </c>
      <c r="S33">
        <v>0.6</v>
      </c>
      <c r="T33">
        <v>0</v>
      </c>
      <c r="U33">
        <v>0</v>
      </c>
      <c r="V33">
        <v>0</v>
      </c>
      <c r="W33">
        <v>0</v>
      </c>
      <c r="X33" s="2">
        <v>46230</v>
      </c>
    </row>
    <row r="34" spans="1:24" ht="15.75" customHeight="1" x14ac:dyDescent="0.2">
      <c r="A34" t="s">
        <v>24</v>
      </c>
      <c r="B34" t="s">
        <v>25</v>
      </c>
      <c r="C34" t="s">
        <v>147</v>
      </c>
      <c r="D34" t="s">
        <v>148</v>
      </c>
      <c r="E34" t="s">
        <v>28</v>
      </c>
      <c r="F34" t="s">
        <v>28</v>
      </c>
      <c r="H34" s="1" t="s">
        <v>949</v>
      </c>
      <c r="I34" s="12" t="s">
        <v>950</v>
      </c>
      <c r="J34" s="3" t="s">
        <v>151</v>
      </c>
      <c r="K34">
        <v>0.55400000000000005</v>
      </c>
      <c r="L34">
        <v>0.55400000000000005</v>
      </c>
      <c r="M34" s="2">
        <v>45911</v>
      </c>
      <c r="N34" s="2">
        <v>46022</v>
      </c>
      <c r="O34" s="17">
        <v>0.55400000000000005</v>
      </c>
      <c r="P34" s="17">
        <v>0.55400000000000005</v>
      </c>
      <c r="Q34" s="17">
        <v>0.55400000000000005</v>
      </c>
      <c r="R34">
        <v>0</v>
      </c>
      <c r="S34">
        <v>0.55400000000000005</v>
      </c>
      <c r="T34">
        <v>0</v>
      </c>
      <c r="U34">
        <v>0</v>
      </c>
      <c r="V34">
        <v>0</v>
      </c>
      <c r="W34">
        <v>0</v>
      </c>
      <c r="X34" s="2">
        <v>46230</v>
      </c>
    </row>
    <row r="35" spans="1:24" ht="15.75" customHeight="1" x14ac:dyDescent="0.2">
      <c r="A35" t="s">
        <v>24</v>
      </c>
      <c r="B35" t="s">
        <v>25</v>
      </c>
      <c r="C35" t="s">
        <v>147</v>
      </c>
      <c r="D35" t="s">
        <v>148</v>
      </c>
      <c r="E35" t="s">
        <v>28</v>
      </c>
      <c r="F35" t="s">
        <v>28</v>
      </c>
      <c r="H35" s="1" t="s">
        <v>951</v>
      </c>
      <c r="I35" s="12" t="s">
        <v>952</v>
      </c>
      <c r="J35" s="3" t="s">
        <v>151</v>
      </c>
      <c r="K35">
        <v>0.13800000000000001</v>
      </c>
      <c r="L35">
        <v>0.13800000000000001</v>
      </c>
      <c r="M35" s="2">
        <v>45909</v>
      </c>
      <c r="N35" s="2">
        <v>46089</v>
      </c>
      <c r="O35" s="17">
        <v>0.13800000000000001</v>
      </c>
      <c r="P35" s="17">
        <v>0.13800000000000001</v>
      </c>
      <c r="Q35" s="17">
        <v>0.13800000000000001</v>
      </c>
      <c r="R35">
        <v>0</v>
      </c>
      <c r="S35">
        <v>0.13800000000000001</v>
      </c>
      <c r="T35">
        <v>0</v>
      </c>
      <c r="U35">
        <v>0</v>
      </c>
      <c r="V35">
        <v>0</v>
      </c>
      <c r="W35">
        <v>0</v>
      </c>
      <c r="X35" s="2">
        <v>46230</v>
      </c>
    </row>
    <row r="36" spans="1:24" ht="15.75" customHeight="1" x14ac:dyDescent="0.2">
      <c r="A36" t="s">
        <v>24</v>
      </c>
      <c r="B36" t="s">
        <v>25</v>
      </c>
      <c r="C36" t="s">
        <v>147</v>
      </c>
      <c r="D36" t="s">
        <v>148</v>
      </c>
      <c r="E36" t="s">
        <v>28</v>
      </c>
      <c r="F36" t="s">
        <v>28</v>
      </c>
      <c r="H36" s="1" t="s">
        <v>953</v>
      </c>
      <c r="I36" s="12" t="s">
        <v>954</v>
      </c>
      <c r="J36" s="3" t="s">
        <v>151</v>
      </c>
      <c r="K36">
        <v>0.61399999999999999</v>
      </c>
      <c r="L36">
        <v>0.61399999999999999</v>
      </c>
      <c r="M36" s="2">
        <v>45908</v>
      </c>
      <c r="N36" s="2">
        <v>45968</v>
      </c>
      <c r="O36" s="17">
        <v>0.61399999999999999</v>
      </c>
      <c r="P36" s="17">
        <v>0.61439999999999995</v>
      </c>
      <c r="Q36" s="17">
        <v>0.61399999999999999</v>
      </c>
      <c r="R36">
        <v>0</v>
      </c>
      <c r="S36">
        <v>0.61399999999999999</v>
      </c>
      <c r="T36">
        <v>0</v>
      </c>
      <c r="U36">
        <v>0</v>
      </c>
      <c r="V36">
        <v>0</v>
      </c>
      <c r="W36">
        <v>0</v>
      </c>
      <c r="X36" s="2">
        <v>46230</v>
      </c>
    </row>
    <row r="37" spans="1:24" ht="15.75" customHeight="1" x14ac:dyDescent="0.2">
      <c r="A37" t="s">
        <v>24</v>
      </c>
      <c r="B37" t="s">
        <v>25</v>
      </c>
      <c r="C37" t="s">
        <v>147</v>
      </c>
      <c r="D37" t="s">
        <v>148</v>
      </c>
      <c r="E37" t="s">
        <v>44</v>
      </c>
      <c r="F37" t="s">
        <v>44</v>
      </c>
      <c r="H37" s="1" t="s">
        <v>955</v>
      </c>
      <c r="I37" s="12" t="s">
        <v>941</v>
      </c>
      <c r="J37" s="3" t="s">
        <v>151</v>
      </c>
      <c r="K37">
        <v>5.0999999999999997E-2</v>
      </c>
      <c r="L37">
        <v>5.0999999999999997E-2</v>
      </c>
      <c r="M37" s="2">
        <v>45901</v>
      </c>
      <c r="N37" s="2">
        <v>46021</v>
      </c>
      <c r="O37" s="17">
        <v>5.0999999999999997E-2</v>
      </c>
      <c r="P37" s="17">
        <v>5.0999999999999997E-2</v>
      </c>
      <c r="Q37" s="17">
        <v>5.0999999999999997E-2</v>
      </c>
      <c r="R37">
        <v>0</v>
      </c>
      <c r="S37">
        <v>5.0999999999999997E-2</v>
      </c>
      <c r="T37">
        <v>0</v>
      </c>
      <c r="U37">
        <v>0</v>
      </c>
      <c r="V37">
        <v>0</v>
      </c>
      <c r="W37">
        <v>0</v>
      </c>
      <c r="X37" s="2">
        <v>46230</v>
      </c>
    </row>
    <row r="38" spans="1:24" ht="15.75" customHeight="1" x14ac:dyDescent="0.2">
      <c r="A38" t="s">
        <v>24</v>
      </c>
      <c r="B38" t="s">
        <v>25</v>
      </c>
      <c r="C38" t="s">
        <v>147</v>
      </c>
      <c r="D38" t="s">
        <v>148</v>
      </c>
      <c r="E38" t="s">
        <v>28</v>
      </c>
      <c r="F38" t="s">
        <v>28</v>
      </c>
      <c r="H38" s="1" t="s">
        <v>956</v>
      </c>
      <c r="I38" s="12" t="s">
        <v>957</v>
      </c>
      <c r="J38" s="3" t="s">
        <v>151</v>
      </c>
      <c r="K38">
        <v>5.2999999999999999E-2</v>
      </c>
      <c r="L38">
        <v>5.2999999999999999E-2</v>
      </c>
      <c r="M38" s="2">
        <v>45889</v>
      </c>
      <c r="N38" s="2">
        <v>45961</v>
      </c>
      <c r="O38" s="17">
        <v>5.2999999999999999E-2</v>
      </c>
      <c r="P38" s="17">
        <v>5.2999999999999999E-2</v>
      </c>
      <c r="Q38" s="17">
        <v>5.2999999999999999E-2</v>
      </c>
      <c r="R38">
        <v>0</v>
      </c>
      <c r="S38">
        <v>5.2999999999999999E-2</v>
      </c>
      <c r="T38">
        <v>0</v>
      </c>
      <c r="U38">
        <v>0</v>
      </c>
      <c r="V38">
        <v>0</v>
      </c>
      <c r="W38">
        <v>0</v>
      </c>
      <c r="X38" s="2">
        <v>46230</v>
      </c>
    </row>
    <row r="39" spans="1:24" ht="15.75" customHeight="1" x14ac:dyDescent="0.2">
      <c r="A39" t="s">
        <v>24</v>
      </c>
      <c r="B39" t="s">
        <v>25</v>
      </c>
      <c r="C39" t="s">
        <v>147</v>
      </c>
      <c r="D39" t="s">
        <v>148</v>
      </c>
      <c r="E39" t="s">
        <v>28</v>
      </c>
      <c r="F39" t="s">
        <v>28</v>
      </c>
      <c r="H39" s="1" t="s">
        <v>958</v>
      </c>
      <c r="I39" s="12" t="s">
        <v>959</v>
      </c>
      <c r="J39" s="3" t="s">
        <v>151</v>
      </c>
      <c r="K39">
        <v>5.1999999999999998E-2</v>
      </c>
      <c r="L39">
        <v>5.1999999999999998E-2</v>
      </c>
      <c r="M39" s="2">
        <v>45882</v>
      </c>
      <c r="N39" s="2">
        <v>45930</v>
      </c>
      <c r="O39" s="17">
        <v>5.1999999999999998E-2</v>
      </c>
      <c r="P39" s="17">
        <v>5.1999999999999998E-2</v>
      </c>
      <c r="Q39" s="17">
        <v>5.1999999999999998E-2</v>
      </c>
      <c r="R39">
        <v>0</v>
      </c>
      <c r="S39">
        <v>5.1999999999999998E-2</v>
      </c>
      <c r="T39">
        <v>0</v>
      </c>
      <c r="U39">
        <v>0</v>
      </c>
      <c r="V39">
        <v>0</v>
      </c>
      <c r="W39">
        <v>0</v>
      </c>
      <c r="X39" s="2">
        <v>46230</v>
      </c>
    </row>
    <row r="40" spans="1:24" ht="15.75" customHeight="1" x14ac:dyDescent="0.2">
      <c r="A40" t="s">
        <v>24</v>
      </c>
      <c r="B40" t="s">
        <v>25</v>
      </c>
      <c r="C40" t="s">
        <v>147</v>
      </c>
      <c r="D40" t="s">
        <v>148</v>
      </c>
      <c r="E40" t="s">
        <v>28</v>
      </c>
      <c r="F40" t="s">
        <v>28</v>
      </c>
      <c r="H40" s="1" t="s">
        <v>960</v>
      </c>
      <c r="I40" s="12" t="s">
        <v>961</v>
      </c>
      <c r="J40" s="3" t="s">
        <v>151</v>
      </c>
      <c r="K40">
        <v>2.8000000000000001E-2</v>
      </c>
      <c r="L40">
        <v>2.8000000000000001E-2</v>
      </c>
      <c r="M40" s="2">
        <v>45881</v>
      </c>
      <c r="N40" s="2">
        <v>45930</v>
      </c>
      <c r="O40" s="17">
        <v>2.8000000000000001E-2</v>
      </c>
      <c r="P40" s="17">
        <v>2.8000000000000001E-2</v>
      </c>
      <c r="Q40" s="17">
        <v>2.8000000000000001E-2</v>
      </c>
      <c r="R40">
        <v>0</v>
      </c>
      <c r="S40">
        <v>2.8000000000000001E-2</v>
      </c>
      <c r="T40">
        <v>0</v>
      </c>
      <c r="U40">
        <v>0</v>
      </c>
      <c r="V40">
        <v>0</v>
      </c>
      <c r="W40">
        <v>0</v>
      </c>
      <c r="X40" s="2">
        <v>46230</v>
      </c>
    </row>
    <row r="41" spans="1:24" ht="15.75" customHeight="1" x14ac:dyDescent="0.2">
      <c r="A41" t="s">
        <v>24</v>
      </c>
      <c r="B41" t="s">
        <v>25</v>
      </c>
      <c r="C41" t="s">
        <v>147</v>
      </c>
      <c r="D41" t="s">
        <v>148</v>
      </c>
      <c r="E41" t="s">
        <v>28</v>
      </c>
      <c r="F41" t="s">
        <v>28</v>
      </c>
      <c r="H41" s="1" t="s">
        <v>962</v>
      </c>
      <c r="I41" s="12" t="s">
        <v>963</v>
      </c>
      <c r="J41" s="3" t="s">
        <v>151</v>
      </c>
      <c r="K41">
        <v>0.25700000000000001</v>
      </c>
      <c r="L41">
        <v>0.25700000000000001</v>
      </c>
      <c r="M41" s="2">
        <v>45867</v>
      </c>
      <c r="N41" s="2">
        <v>45913</v>
      </c>
      <c r="O41" s="17">
        <v>0.25700000000000001</v>
      </c>
      <c r="P41" s="17">
        <v>0.25700000000000001</v>
      </c>
      <c r="Q41" s="17">
        <v>0.25700000000000001</v>
      </c>
      <c r="R41">
        <v>0</v>
      </c>
      <c r="S41">
        <v>0.25700000000000001</v>
      </c>
      <c r="T41">
        <v>0</v>
      </c>
      <c r="U41">
        <v>0</v>
      </c>
      <c r="V41">
        <v>0</v>
      </c>
      <c r="W41">
        <v>0</v>
      </c>
      <c r="X41" s="2">
        <v>46230</v>
      </c>
    </row>
    <row r="42" spans="1:24" ht="15.75" customHeight="1" x14ac:dyDescent="0.2">
      <c r="A42" t="s">
        <v>24</v>
      </c>
      <c r="B42" t="s">
        <v>25</v>
      </c>
      <c r="C42" t="s">
        <v>147</v>
      </c>
      <c r="D42" t="s">
        <v>148</v>
      </c>
      <c r="E42" t="s">
        <v>44</v>
      </c>
      <c r="F42" t="s">
        <v>44</v>
      </c>
      <c r="H42" s="1" t="s">
        <v>964</v>
      </c>
      <c r="I42" s="12" t="s">
        <v>965</v>
      </c>
      <c r="J42" s="3" t="s">
        <v>151</v>
      </c>
      <c r="K42">
        <v>5.7000000000000002E-2</v>
      </c>
      <c r="L42">
        <v>5.7000000000000002E-2</v>
      </c>
      <c r="M42" s="2">
        <v>45866</v>
      </c>
      <c r="N42" s="2">
        <v>45957</v>
      </c>
      <c r="O42" s="17">
        <v>5.7000000000000002E-2</v>
      </c>
      <c r="P42" s="17">
        <v>5.7000000000000002E-2</v>
      </c>
      <c r="Q42" s="17">
        <v>5.7000000000000002E-2</v>
      </c>
      <c r="R42">
        <v>0</v>
      </c>
      <c r="S42">
        <v>5.7000000000000002E-2</v>
      </c>
      <c r="T42">
        <v>0</v>
      </c>
      <c r="U42">
        <v>0</v>
      </c>
      <c r="V42">
        <v>0</v>
      </c>
      <c r="W42">
        <v>0</v>
      </c>
      <c r="X42" s="2">
        <v>46230</v>
      </c>
    </row>
    <row r="43" spans="1:24" ht="15.75" customHeight="1" x14ac:dyDescent="0.2">
      <c r="A43" t="s">
        <v>24</v>
      </c>
      <c r="B43" t="s">
        <v>25</v>
      </c>
      <c r="C43" t="s">
        <v>147</v>
      </c>
      <c r="D43" t="s">
        <v>148</v>
      </c>
      <c r="E43" t="s">
        <v>28</v>
      </c>
      <c r="F43" t="s">
        <v>28</v>
      </c>
      <c r="H43" s="1" t="s">
        <v>966</v>
      </c>
      <c r="I43" s="12" t="s">
        <v>967</v>
      </c>
      <c r="J43" s="3" t="s">
        <v>151</v>
      </c>
      <c r="K43">
        <v>2.5999999999999999E-2</v>
      </c>
      <c r="L43">
        <v>2.5999999999999999E-2</v>
      </c>
      <c r="M43" s="2">
        <v>45848</v>
      </c>
      <c r="N43" s="2">
        <v>45961</v>
      </c>
      <c r="O43" s="17">
        <v>2.7E-2</v>
      </c>
      <c r="P43" s="17">
        <v>2.7E-2</v>
      </c>
      <c r="Q43" s="17">
        <v>2.7E-2</v>
      </c>
      <c r="R43">
        <v>0</v>
      </c>
      <c r="S43">
        <v>2.7E-2</v>
      </c>
      <c r="T43">
        <v>0</v>
      </c>
      <c r="U43">
        <v>0</v>
      </c>
      <c r="V43">
        <v>0</v>
      </c>
      <c r="W43">
        <v>0</v>
      </c>
      <c r="X43" s="2">
        <v>46230</v>
      </c>
    </row>
    <row r="44" spans="1:24" ht="15.75" customHeight="1" x14ac:dyDescent="0.2">
      <c r="A44" t="s">
        <v>24</v>
      </c>
      <c r="B44" t="s">
        <v>25</v>
      </c>
      <c r="C44" t="s">
        <v>147</v>
      </c>
      <c r="D44" t="s">
        <v>148</v>
      </c>
      <c r="E44" t="s">
        <v>28</v>
      </c>
      <c r="F44" t="s">
        <v>28</v>
      </c>
      <c r="H44" s="1" t="s">
        <v>968</v>
      </c>
      <c r="I44" s="12" t="s">
        <v>969</v>
      </c>
      <c r="J44" s="3" t="s">
        <v>151</v>
      </c>
      <c r="K44">
        <v>5.0999999999999997E-2</v>
      </c>
      <c r="L44">
        <v>5.0999999999999997E-2</v>
      </c>
      <c r="M44" s="2">
        <v>45817</v>
      </c>
      <c r="N44" s="2">
        <v>45877</v>
      </c>
      <c r="O44" s="17">
        <v>5.0999999999999997E-2</v>
      </c>
      <c r="P44" s="17">
        <v>5.0999999999999997E-2</v>
      </c>
      <c r="Q44" s="17">
        <v>5.0999999999999997E-2</v>
      </c>
      <c r="R44">
        <v>0</v>
      </c>
      <c r="S44">
        <v>5.0999999999999997E-2</v>
      </c>
      <c r="T44">
        <v>0</v>
      </c>
      <c r="U44">
        <v>0</v>
      </c>
      <c r="V44">
        <v>0</v>
      </c>
      <c r="W44">
        <v>0</v>
      </c>
      <c r="X44" s="2">
        <v>46230</v>
      </c>
    </row>
    <row r="45" spans="1:24" ht="15.75" customHeight="1" x14ac:dyDescent="0.2">
      <c r="A45" t="s">
        <v>24</v>
      </c>
      <c r="B45" t="s">
        <v>25</v>
      </c>
      <c r="C45" t="s">
        <v>147</v>
      </c>
      <c r="D45" t="s">
        <v>148</v>
      </c>
      <c r="E45" t="s">
        <v>28</v>
      </c>
      <c r="F45" t="s">
        <v>28</v>
      </c>
      <c r="H45" s="1" t="s">
        <v>970</v>
      </c>
      <c r="I45" s="12" t="s">
        <v>971</v>
      </c>
      <c r="J45" s="3" t="s">
        <v>151</v>
      </c>
      <c r="K45">
        <v>0.69699999999999995</v>
      </c>
      <c r="L45">
        <v>0.69699999999999995</v>
      </c>
      <c r="M45" s="2">
        <v>45799</v>
      </c>
      <c r="N45" s="2">
        <v>45900</v>
      </c>
      <c r="O45" s="17">
        <v>0.69699999999999995</v>
      </c>
      <c r="P45" s="17">
        <v>0.69699999999999995</v>
      </c>
      <c r="Q45" s="17">
        <v>0.69699999999999995</v>
      </c>
      <c r="R45">
        <v>0</v>
      </c>
      <c r="S45">
        <v>0.69699999999999995</v>
      </c>
      <c r="T45">
        <v>0</v>
      </c>
      <c r="U45">
        <v>0</v>
      </c>
      <c r="V45">
        <v>0</v>
      </c>
      <c r="W45">
        <v>0</v>
      </c>
      <c r="X45" s="2">
        <v>46230</v>
      </c>
    </row>
    <row r="46" spans="1:24" ht="15.75" customHeight="1" x14ac:dyDescent="0.2">
      <c r="A46" t="s">
        <v>24</v>
      </c>
      <c r="B46" t="s">
        <v>25</v>
      </c>
      <c r="C46" t="s">
        <v>147</v>
      </c>
      <c r="D46" t="s">
        <v>148</v>
      </c>
      <c r="E46" t="s">
        <v>28</v>
      </c>
      <c r="F46" t="s">
        <v>28</v>
      </c>
      <c r="H46" s="1" t="s">
        <v>972</v>
      </c>
      <c r="I46" s="12" t="s">
        <v>25</v>
      </c>
      <c r="J46" s="3" t="s">
        <v>151</v>
      </c>
      <c r="K46">
        <v>2.7E-2</v>
      </c>
      <c r="L46">
        <v>0.03</v>
      </c>
      <c r="M46" s="2">
        <v>45790</v>
      </c>
      <c r="N46" s="2">
        <v>45970</v>
      </c>
      <c r="O46" s="17">
        <v>2.7E-2</v>
      </c>
      <c r="P46" s="17">
        <v>2.7E-2</v>
      </c>
      <c r="Q46" s="17">
        <v>2.7E-2</v>
      </c>
      <c r="R46">
        <v>0</v>
      </c>
      <c r="S46">
        <v>2.7E-2</v>
      </c>
      <c r="T46">
        <v>0</v>
      </c>
      <c r="U46">
        <v>0</v>
      </c>
      <c r="V46">
        <v>0</v>
      </c>
      <c r="W46">
        <v>0</v>
      </c>
      <c r="X46" s="2">
        <v>46230</v>
      </c>
    </row>
    <row r="47" spans="1:24" ht="15.75" customHeight="1" x14ac:dyDescent="0.2">
      <c r="A47" t="s">
        <v>24</v>
      </c>
      <c r="B47" t="s">
        <v>25</v>
      </c>
      <c r="C47" t="s">
        <v>147</v>
      </c>
      <c r="D47" t="s">
        <v>148</v>
      </c>
      <c r="E47" t="s">
        <v>28</v>
      </c>
      <c r="F47" t="s">
        <v>28</v>
      </c>
      <c r="H47" s="1" t="s">
        <v>973</v>
      </c>
      <c r="I47" s="12" t="s">
        <v>974</v>
      </c>
      <c r="J47" s="3" t="s">
        <v>151</v>
      </c>
      <c r="K47">
        <v>0.215</v>
      </c>
      <c r="L47">
        <v>0.215</v>
      </c>
      <c r="M47" s="2">
        <v>45763</v>
      </c>
      <c r="N47" s="2">
        <v>45899</v>
      </c>
      <c r="O47" s="17">
        <v>0.215</v>
      </c>
      <c r="P47" s="17">
        <v>0.215</v>
      </c>
      <c r="Q47" s="17">
        <v>0.215</v>
      </c>
      <c r="R47">
        <v>0</v>
      </c>
      <c r="S47">
        <v>0.215</v>
      </c>
      <c r="T47">
        <v>0</v>
      </c>
      <c r="U47">
        <v>0</v>
      </c>
      <c r="V47">
        <v>0</v>
      </c>
      <c r="W47">
        <v>0</v>
      </c>
      <c r="X47" s="2">
        <v>46230</v>
      </c>
    </row>
    <row r="48" spans="1:24" ht="15.75" customHeight="1" x14ac:dyDescent="0.2">
      <c r="A48" t="s">
        <v>24</v>
      </c>
      <c r="B48" t="s">
        <v>25</v>
      </c>
      <c r="C48" t="s">
        <v>147</v>
      </c>
      <c r="D48" t="s">
        <v>148</v>
      </c>
      <c r="E48" t="s">
        <v>28</v>
      </c>
      <c r="F48" t="s">
        <v>28</v>
      </c>
      <c r="H48" s="1" t="s">
        <v>975</v>
      </c>
      <c r="I48" s="12" t="s">
        <v>976</v>
      </c>
      <c r="J48" s="3" t="s">
        <v>151</v>
      </c>
      <c r="K48">
        <v>2.5999999999999999E-2</v>
      </c>
      <c r="L48">
        <v>2.5999999999999999E-2</v>
      </c>
      <c r="M48" s="2">
        <v>45726</v>
      </c>
      <c r="N48" s="2">
        <v>45786</v>
      </c>
      <c r="O48" s="17">
        <v>2.5999999999999999E-2</v>
      </c>
      <c r="P48" s="17">
        <v>2.5999999999999999E-2</v>
      </c>
      <c r="Q48" s="17">
        <v>2.5999999999999999E-2</v>
      </c>
      <c r="R48">
        <v>0</v>
      </c>
      <c r="S48">
        <v>2.5999999999999999E-2</v>
      </c>
      <c r="T48">
        <v>0</v>
      </c>
      <c r="U48">
        <v>0</v>
      </c>
      <c r="V48">
        <v>0</v>
      </c>
      <c r="W48">
        <v>0</v>
      </c>
      <c r="X48" s="2">
        <v>46230</v>
      </c>
    </row>
    <row r="49" spans="1:29" ht="15.75" customHeight="1" x14ac:dyDescent="0.2">
      <c r="A49" t="s">
        <v>24</v>
      </c>
      <c r="B49" t="s">
        <v>25</v>
      </c>
      <c r="C49" t="s">
        <v>147</v>
      </c>
      <c r="D49" t="s">
        <v>148</v>
      </c>
      <c r="E49" t="s">
        <v>44</v>
      </c>
      <c r="F49" t="s">
        <v>44</v>
      </c>
      <c r="H49" s="1" t="s">
        <v>977</v>
      </c>
      <c r="I49" s="12" t="s">
        <v>978</v>
      </c>
      <c r="J49" s="3" t="s">
        <v>151</v>
      </c>
      <c r="K49">
        <v>1.2E-2</v>
      </c>
      <c r="L49">
        <v>1.2E-2</v>
      </c>
      <c r="M49" s="2">
        <v>45707</v>
      </c>
      <c r="N49" s="2">
        <v>45734</v>
      </c>
      <c r="O49" s="17">
        <v>1.2E-2</v>
      </c>
      <c r="P49" s="17">
        <v>1.2E-2</v>
      </c>
      <c r="Q49" s="17">
        <v>1.2E-2</v>
      </c>
      <c r="R49">
        <v>0</v>
      </c>
      <c r="S49">
        <v>1.2E-2</v>
      </c>
      <c r="T49">
        <v>0</v>
      </c>
      <c r="U49">
        <v>0</v>
      </c>
      <c r="V49">
        <v>0</v>
      </c>
      <c r="W49">
        <v>0</v>
      </c>
      <c r="X49" s="2">
        <v>46230</v>
      </c>
    </row>
    <row r="50" spans="1:29" ht="15.75" customHeight="1" x14ac:dyDescent="0.2">
      <c r="A50" t="s">
        <v>24</v>
      </c>
      <c r="B50" t="s">
        <v>25</v>
      </c>
      <c r="C50" t="s">
        <v>147</v>
      </c>
      <c r="D50" t="s">
        <v>148</v>
      </c>
      <c r="E50" t="s">
        <v>28</v>
      </c>
      <c r="F50" t="s">
        <v>28</v>
      </c>
      <c r="H50" s="1" t="s">
        <v>979</v>
      </c>
      <c r="I50" s="12" t="s">
        <v>980</v>
      </c>
      <c r="J50" s="3" t="s">
        <v>151</v>
      </c>
      <c r="K50">
        <v>2.5999999999999999E-2</v>
      </c>
      <c r="L50">
        <v>2.5999999999999999E-2</v>
      </c>
      <c r="M50" s="2">
        <v>45681</v>
      </c>
      <c r="N50" s="2">
        <v>45721</v>
      </c>
      <c r="O50" s="17">
        <v>2.5999999999999999E-2</v>
      </c>
      <c r="P50" s="17">
        <v>2.5999999999999999E-2</v>
      </c>
      <c r="Q50" s="17">
        <v>2.5999999999999999E-2</v>
      </c>
      <c r="R50">
        <v>0</v>
      </c>
      <c r="S50">
        <v>2.5999999999999999E-2</v>
      </c>
      <c r="T50">
        <v>0</v>
      </c>
      <c r="U50">
        <v>0</v>
      </c>
      <c r="V50">
        <v>0</v>
      </c>
      <c r="W50">
        <v>0</v>
      </c>
      <c r="X50" s="2">
        <v>46230</v>
      </c>
    </row>
    <row r="51" spans="1:29" ht="15.75" customHeight="1" x14ac:dyDescent="0.2">
      <c r="A51" t="s">
        <v>24</v>
      </c>
      <c r="B51" t="s">
        <v>25</v>
      </c>
      <c r="C51" t="s">
        <v>147</v>
      </c>
      <c r="D51" t="s">
        <v>148</v>
      </c>
      <c r="E51" t="s">
        <v>78</v>
      </c>
      <c r="F51" t="s">
        <v>78</v>
      </c>
      <c r="H51" s="1" t="s">
        <v>981</v>
      </c>
      <c r="I51" s="12" t="s">
        <v>982</v>
      </c>
      <c r="J51" s="3" t="s">
        <v>151</v>
      </c>
      <c r="K51">
        <v>5.0999999999999997E-2</v>
      </c>
      <c r="L51">
        <v>5.0999999999999997E-2</v>
      </c>
      <c r="M51" s="2">
        <v>45565</v>
      </c>
      <c r="N51" s="2">
        <v>45580</v>
      </c>
      <c r="O51" s="17">
        <v>5.0999999999999997E-2</v>
      </c>
      <c r="P51" s="17">
        <v>0</v>
      </c>
      <c r="Q51" s="17">
        <v>0</v>
      </c>
      <c r="R51">
        <v>0</v>
      </c>
      <c r="S51">
        <v>0</v>
      </c>
      <c r="T51">
        <v>5.0999999999999997E-2</v>
      </c>
      <c r="U51">
        <v>0</v>
      </c>
      <c r="V51">
        <v>0</v>
      </c>
      <c r="W51">
        <v>0</v>
      </c>
      <c r="X51" s="2">
        <v>46230</v>
      </c>
    </row>
    <row r="52" spans="1:29" ht="15.75" customHeight="1" x14ac:dyDescent="0.2">
      <c r="A52" t="s">
        <v>24</v>
      </c>
      <c r="B52" t="s">
        <v>25</v>
      </c>
      <c r="C52" t="s">
        <v>147</v>
      </c>
      <c r="D52" t="s">
        <v>148</v>
      </c>
      <c r="E52" t="s">
        <v>78</v>
      </c>
      <c r="F52" t="s">
        <v>78</v>
      </c>
      <c r="H52" s="1" t="s">
        <v>983</v>
      </c>
      <c r="I52" s="12" t="s">
        <v>984</v>
      </c>
      <c r="J52" s="3" t="s">
        <v>151</v>
      </c>
      <c r="K52">
        <v>2.5999999999999999E-2</v>
      </c>
      <c r="L52">
        <v>2.5999999999999999E-2</v>
      </c>
      <c r="M52" s="2">
        <v>45558</v>
      </c>
      <c r="N52" s="2">
        <v>45618</v>
      </c>
      <c r="O52" s="17">
        <v>2.5999999999999999E-2</v>
      </c>
      <c r="P52" s="17">
        <v>0</v>
      </c>
      <c r="Q52" s="17">
        <v>0</v>
      </c>
      <c r="R52">
        <v>0</v>
      </c>
      <c r="S52">
        <v>0</v>
      </c>
      <c r="T52">
        <v>2.5999999999999999E-2</v>
      </c>
      <c r="U52">
        <v>0</v>
      </c>
      <c r="V52">
        <v>0</v>
      </c>
      <c r="W52">
        <v>0</v>
      </c>
      <c r="X52" s="2">
        <v>46230</v>
      </c>
    </row>
    <row r="53" spans="1:29" ht="15.75" customHeight="1" x14ac:dyDescent="0.2">
      <c r="A53" t="s">
        <v>24</v>
      </c>
      <c r="B53" t="s">
        <v>25</v>
      </c>
      <c r="C53" t="s">
        <v>147</v>
      </c>
      <c r="D53" t="s">
        <v>148</v>
      </c>
      <c r="E53" t="s">
        <v>44</v>
      </c>
      <c r="F53" t="s">
        <v>44</v>
      </c>
      <c r="H53" s="1" t="s">
        <v>985</v>
      </c>
      <c r="I53" s="12" t="s">
        <v>986</v>
      </c>
      <c r="J53" s="3" t="s">
        <v>151</v>
      </c>
      <c r="K53">
        <v>0.79500000000000004</v>
      </c>
      <c r="L53">
        <v>0.79500000000000004</v>
      </c>
      <c r="M53" s="2">
        <v>45558</v>
      </c>
      <c r="N53" s="2">
        <v>45648</v>
      </c>
      <c r="O53" s="17">
        <v>0.79500000000000004</v>
      </c>
      <c r="P53" s="17">
        <v>0</v>
      </c>
      <c r="Q53" s="17">
        <v>0</v>
      </c>
      <c r="R53">
        <v>0</v>
      </c>
      <c r="S53">
        <v>0</v>
      </c>
      <c r="T53">
        <v>0.79500000000000004</v>
      </c>
      <c r="U53">
        <v>0</v>
      </c>
      <c r="V53">
        <v>0</v>
      </c>
      <c r="W53">
        <v>0</v>
      </c>
      <c r="X53" s="2">
        <v>46230</v>
      </c>
    </row>
    <row r="54" spans="1:29" s="26" customFormat="1" ht="15.75" customHeight="1" x14ac:dyDescent="0.2">
      <c r="A54" t="s">
        <v>24</v>
      </c>
      <c r="B54" t="s">
        <v>25</v>
      </c>
      <c r="C54" s="3" t="s">
        <v>215</v>
      </c>
      <c r="D54" s="3" t="s">
        <v>216</v>
      </c>
      <c r="E54" t="s">
        <v>28</v>
      </c>
      <c r="F54" t="s">
        <v>28</v>
      </c>
      <c r="G54" t="s">
        <v>44</v>
      </c>
      <c r="H54" s="7" t="s">
        <v>217</v>
      </c>
      <c r="I54" s="11" t="s">
        <v>218</v>
      </c>
      <c r="J54" s="3" t="s">
        <v>122</v>
      </c>
      <c r="K54">
        <v>3.2</v>
      </c>
      <c r="L54">
        <v>3.2</v>
      </c>
      <c r="M54" s="2">
        <v>44547</v>
      </c>
      <c r="N54" s="2"/>
      <c r="O54">
        <v>3.2</v>
      </c>
      <c r="P54" s="17">
        <v>0</v>
      </c>
      <c r="Q54" s="17">
        <v>0</v>
      </c>
      <c r="R54">
        <v>0</v>
      </c>
      <c r="S54" s="17">
        <f>Q54-R54</f>
        <v>0</v>
      </c>
      <c r="T54">
        <v>2.5000000000000001E-2</v>
      </c>
      <c r="U54">
        <v>2.129</v>
      </c>
      <c r="V54">
        <v>1.0469999999999999</v>
      </c>
      <c r="W54" s="17">
        <v>0</v>
      </c>
      <c r="X54" s="2">
        <v>46230</v>
      </c>
      <c r="Y54"/>
      <c r="Z54"/>
      <c r="AA54"/>
      <c r="AB54"/>
      <c r="AC54"/>
    </row>
    <row r="55" spans="1:29" ht="15.75" customHeight="1" x14ac:dyDescent="0.2">
      <c r="A55" t="s">
        <v>24</v>
      </c>
      <c r="B55" t="s">
        <v>25</v>
      </c>
      <c r="C55" t="s">
        <v>374</v>
      </c>
      <c r="D55" t="s">
        <v>448</v>
      </c>
      <c r="E55" t="s">
        <v>28</v>
      </c>
      <c r="F55" t="s">
        <v>28</v>
      </c>
      <c r="H55" s="7" t="s">
        <v>449</v>
      </c>
      <c r="I55" s="11" t="s">
        <v>25</v>
      </c>
      <c r="J55" s="3" t="s">
        <v>151</v>
      </c>
      <c r="K55">
        <v>0.02</v>
      </c>
      <c r="L55">
        <v>0.02</v>
      </c>
      <c r="M55" s="2">
        <v>45106</v>
      </c>
      <c r="N55" s="2">
        <v>45199</v>
      </c>
      <c r="O55">
        <v>0.02</v>
      </c>
      <c r="P55" s="17">
        <v>0</v>
      </c>
      <c r="Q55" s="17">
        <v>0</v>
      </c>
      <c r="R55">
        <v>0</v>
      </c>
      <c r="S55" s="17">
        <v>0</v>
      </c>
      <c r="T55">
        <v>0</v>
      </c>
      <c r="U55">
        <v>0.02</v>
      </c>
      <c r="V55">
        <v>0</v>
      </c>
      <c r="W55" s="17">
        <v>0</v>
      </c>
      <c r="X55" s="2">
        <v>46230</v>
      </c>
    </row>
    <row r="56" spans="1:29" ht="15.75" customHeight="1" x14ac:dyDescent="0.2">
      <c r="A56" t="s">
        <v>24</v>
      </c>
      <c r="B56" t="s">
        <v>25</v>
      </c>
      <c r="C56" t="s">
        <v>374</v>
      </c>
      <c r="D56" t="s">
        <v>448</v>
      </c>
      <c r="E56" t="s">
        <v>28</v>
      </c>
      <c r="F56" t="s">
        <v>28</v>
      </c>
      <c r="H56" s="7" t="s">
        <v>450</v>
      </c>
      <c r="I56" s="11" t="s">
        <v>451</v>
      </c>
      <c r="J56" s="3" t="s">
        <v>151</v>
      </c>
      <c r="K56">
        <v>0.90400000000000003</v>
      </c>
      <c r="L56">
        <v>0.90400000000000003</v>
      </c>
      <c r="M56" s="2">
        <v>44834</v>
      </c>
      <c r="N56" s="2">
        <v>45198</v>
      </c>
      <c r="O56">
        <v>0.90400000000000003</v>
      </c>
      <c r="P56" s="17">
        <v>0</v>
      </c>
      <c r="Q56" s="17">
        <v>0</v>
      </c>
      <c r="R56">
        <v>0</v>
      </c>
      <c r="S56" s="17">
        <v>0</v>
      </c>
      <c r="T56">
        <v>0</v>
      </c>
      <c r="U56">
        <v>0</v>
      </c>
      <c r="V56">
        <v>0.90400000000000003</v>
      </c>
      <c r="W56" s="17">
        <v>0</v>
      </c>
      <c r="X56" s="2">
        <v>46230</v>
      </c>
    </row>
    <row r="57" spans="1:29" ht="15.75" customHeight="1" x14ac:dyDescent="0.2">
      <c r="A57" t="s">
        <v>24</v>
      </c>
      <c r="B57" t="s">
        <v>25</v>
      </c>
      <c r="C57" t="s">
        <v>374</v>
      </c>
      <c r="D57" t="s">
        <v>448</v>
      </c>
      <c r="E57" t="s">
        <v>44</v>
      </c>
      <c r="F57" t="s">
        <v>44</v>
      </c>
      <c r="H57" s="7" t="s">
        <v>452</v>
      </c>
      <c r="I57" s="11" t="s">
        <v>453</v>
      </c>
      <c r="J57" s="3" t="s">
        <v>151</v>
      </c>
      <c r="K57">
        <v>9.6000000000000002E-2</v>
      </c>
      <c r="L57">
        <v>9.6000000000000002E-2</v>
      </c>
      <c r="M57" s="2">
        <v>44826</v>
      </c>
      <c r="N57" s="2">
        <v>44938</v>
      </c>
      <c r="O57">
        <v>9.6000000000000002E-2</v>
      </c>
      <c r="P57" s="17">
        <v>0</v>
      </c>
      <c r="Q57" s="17">
        <v>0</v>
      </c>
      <c r="R57">
        <v>0</v>
      </c>
      <c r="S57" s="17">
        <v>0</v>
      </c>
      <c r="T57">
        <v>0</v>
      </c>
      <c r="U57">
        <v>0</v>
      </c>
      <c r="V57">
        <v>9.6000000000000002E-2</v>
      </c>
      <c r="W57" s="17">
        <v>0</v>
      </c>
      <c r="X57" s="2">
        <v>46230</v>
      </c>
    </row>
    <row r="58" spans="1:29" ht="15.75" customHeight="1" x14ac:dyDescent="0.2">
      <c r="A58" t="s">
        <v>24</v>
      </c>
      <c r="B58" t="s">
        <v>25</v>
      </c>
      <c r="C58" t="s">
        <v>374</v>
      </c>
      <c r="D58" t="s">
        <v>448</v>
      </c>
      <c r="E58" t="s">
        <v>28</v>
      </c>
      <c r="F58" t="s">
        <v>28</v>
      </c>
      <c r="H58" s="7" t="s">
        <v>454</v>
      </c>
      <c r="I58" s="11" t="s">
        <v>455</v>
      </c>
      <c r="J58" s="3" t="s">
        <v>151</v>
      </c>
      <c r="K58">
        <v>1.6E-2</v>
      </c>
      <c r="L58">
        <v>1.6E-2</v>
      </c>
      <c r="M58" s="2">
        <v>44825</v>
      </c>
      <c r="N58" s="2">
        <v>44876</v>
      </c>
      <c r="O58">
        <v>1.6E-2</v>
      </c>
      <c r="P58" s="17">
        <v>0</v>
      </c>
      <c r="Q58" s="17">
        <v>0</v>
      </c>
      <c r="R58">
        <v>0</v>
      </c>
      <c r="S58" s="17">
        <v>0</v>
      </c>
      <c r="T58">
        <v>0</v>
      </c>
      <c r="U58">
        <v>0</v>
      </c>
      <c r="V58">
        <v>1.6E-2</v>
      </c>
      <c r="W58" s="17">
        <v>0</v>
      </c>
      <c r="X58" s="2">
        <v>46230</v>
      </c>
    </row>
    <row r="59" spans="1:29" ht="15.75" customHeight="1" x14ac:dyDescent="0.2">
      <c r="A59" t="s">
        <v>24</v>
      </c>
      <c r="B59" t="s">
        <v>25</v>
      </c>
      <c r="C59" t="s">
        <v>374</v>
      </c>
      <c r="D59" t="s">
        <v>448</v>
      </c>
      <c r="E59" t="s">
        <v>44</v>
      </c>
      <c r="F59" t="s">
        <v>44</v>
      </c>
      <c r="H59" s="7" t="s">
        <v>456</v>
      </c>
      <c r="I59" s="11" t="s">
        <v>457</v>
      </c>
      <c r="J59" s="3" t="s">
        <v>151</v>
      </c>
      <c r="K59">
        <v>0.35599999999999998</v>
      </c>
      <c r="L59">
        <v>0.35599999999999998</v>
      </c>
      <c r="M59" s="2">
        <v>44818</v>
      </c>
      <c r="N59" s="2">
        <v>44930</v>
      </c>
      <c r="O59">
        <v>0.35599999999999998</v>
      </c>
      <c r="P59" s="17">
        <v>0</v>
      </c>
      <c r="Q59" s="17">
        <v>0</v>
      </c>
      <c r="R59">
        <v>0</v>
      </c>
      <c r="S59" s="17">
        <v>0</v>
      </c>
      <c r="T59">
        <v>0</v>
      </c>
      <c r="U59">
        <v>0</v>
      </c>
      <c r="V59">
        <v>0.35599999999999998</v>
      </c>
      <c r="W59" s="17">
        <v>0</v>
      </c>
      <c r="X59" s="2">
        <v>46230</v>
      </c>
    </row>
    <row r="60" spans="1:29" ht="15.75" customHeight="1" x14ac:dyDescent="0.2">
      <c r="A60" t="s">
        <v>24</v>
      </c>
      <c r="B60" t="s">
        <v>25</v>
      </c>
      <c r="C60" t="s">
        <v>374</v>
      </c>
      <c r="D60" t="s">
        <v>448</v>
      </c>
      <c r="E60" t="s">
        <v>44</v>
      </c>
      <c r="F60" t="s">
        <v>44</v>
      </c>
      <c r="H60" s="7" t="s">
        <v>458</v>
      </c>
      <c r="I60" s="11" t="s">
        <v>459</v>
      </c>
      <c r="J60" s="3" t="s">
        <v>151</v>
      </c>
      <c r="K60">
        <v>0.02</v>
      </c>
      <c r="L60">
        <v>0.02</v>
      </c>
      <c r="M60" s="2">
        <v>44784</v>
      </c>
      <c r="N60" s="2">
        <v>44896</v>
      </c>
      <c r="O60">
        <v>0.02</v>
      </c>
      <c r="P60" s="17">
        <v>0</v>
      </c>
      <c r="Q60" s="17">
        <v>0</v>
      </c>
      <c r="R60">
        <v>0</v>
      </c>
      <c r="S60" s="17">
        <v>0</v>
      </c>
      <c r="T60">
        <v>0</v>
      </c>
      <c r="U60">
        <v>0</v>
      </c>
      <c r="V60">
        <v>0.02</v>
      </c>
      <c r="W60" s="17">
        <v>0</v>
      </c>
      <c r="X60" s="2">
        <v>46230</v>
      </c>
    </row>
    <row r="61" spans="1:29" ht="15.75" customHeight="1" x14ac:dyDescent="0.2">
      <c r="A61" t="s">
        <v>24</v>
      </c>
      <c r="B61" t="s">
        <v>25</v>
      </c>
      <c r="C61" t="s">
        <v>374</v>
      </c>
      <c r="D61" t="s">
        <v>448</v>
      </c>
      <c r="E61" t="s">
        <v>44</v>
      </c>
      <c r="F61" t="s">
        <v>44</v>
      </c>
      <c r="H61" s="7" t="s">
        <v>460</v>
      </c>
      <c r="I61" s="11" t="s">
        <v>461</v>
      </c>
      <c r="J61" s="3" t="s">
        <v>151</v>
      </c>
      <c r="K61">
        <v>3.2000000000000001E-2</v>
      </c>
      <c r="L61">
        <v>3.2000000000000001E-2</v>
      </c>
      <c r="M61" s="2">
        <v>44743</v>
      </c>
      <c r="N61" s="2">
        <v>44855</v>
      </c>
      <c r="O61">
        <v>3.2000000000000001E-2</v>
      </c>
      <c r="P61" s="17">
        <v>0</v>
      </c>
      <c r="Q61" s="17">
        <v>0</v>
      </c>
      <c r="R61">
        <v>0</v>
      </c>
      <c r="S61" s="17">
        <v>0</v>
      </c>
      <c r="T61">
        <v>0</v>
      </c>
      <c r="U61">
        <v>0</v>
      </c>
      <c r="V61">
        <v>3.2000000000000001E-2</v>
      </c>
      <c r="W61" s="17">
        <v>0</v>
      </c>
      <c r="X61" s="2">
        <v>46230</v>
      </c>
    </row>
    <row r="62" spans="1:29" ht="15.75" customHeight="1" x14ac:dyDescent="0.2">
      <c r="A62" t="s">
        <v>24</v>
      </c>
      <c r="B62" t="s">
        <v>25</v>
      </c>
      <c r="C62" t="s">
        <v>147</v>
      </c>
      <c r="D62" t="s">
        <v>448</v>
      </c>
      <c r="E62" t="s">
        <v>28</v>
      </c>
      <c r="F62" t="s">
        <v>28</v>
      </c>
      <c r="H62" s="1" t="s">
        <v>987</v>
      </c>
      <c r="I62" s="12" t="s">
        <v>988</v>
      </c>
      <c r="J62" s="3" t="s">
        <v>151</v>
      </c>
      <c r="K62">
        <v>8.6999999999999994E-2</v>
      </c>
      <c r="L62">
        <v>8.6999999999999994E-2</v>
      </c>
      <c r="M62" s="2">
        <v>44832</v>
      </c>
      <c r="N62" s="2">
        <v>44862</v>
      </c>
      <c r="O62" s="17">
        <v>8.6999999999999994E-2</v>
      </c>
      <c r="P62" s="17">
        <v>0</v>
      </c>
      <c r="Q62" s="17">
        <v>0</v>
      </c>
      <c r="R62">
        <v>0</v>
      </c>
      <c r="S62">
        <v>0</v>
      </c>
      <c r="T62">
        <v>0</v>
      </c>
      <c r="U62">
        <v>0</v>
      </c>
      <c r="V62">
        <v>8.6999999999999994E-2</v>
      </c>
      <c r="W62">
        <v>0</v>
      </c>
      <c r="X62" s="2">
        <v>46230</v>
      </c>
    </row>
    <row r="63" spans="1:29" ht="15.75" customHeight="1" x14ac:dyDescent="0.2">
      <c r="A63" t="s">
        <v>24</v>
      </c>
      <c r="B63" t="s">
        <v>25</v>
      </c>
      <c r="C63" t="s">
        <v>147</v>
      </c>
      <c r="D63" t="s">
        <v>448</v>
      </c>
      <c r="E63" t="s">
        <v>28</v>
      </c>
      <c r="F63" t="s">
        <v>28</v>
      </c>
      <c r="H63" s="1" t="s">
        <v>989</v>
      </c>
      <c r="I63" s="12" t="s">
        <v>990</v>
      </c>
      <c r="J63" s="3" t="s">
        <v>151</v>
      </c>
      <c r="K63">
        <v>8.4000000000000005E-2</v>
      </c>
      <c r="L63">
        <v>8.4000000000000005E-2</v>
      </c>
      <c r="M63" s="2">
        <v>44824</v>
      </c>
      <c r="N63" s="2">
        <v>44853</v>
      </c>
      <c r="O63" s="17">
        <v>8.4000000000000005E-2</v>
      </c>
      <c r="P63" s="17">
        <v>0</v>
      </c>
      <c r="Q63" s="17">
        <v>0</v>
      </c>
      <c r="R63">
        <v>0</v>
      </c>
      <c r="S63">
        <v>0</v>
      </c>
      <c r="T63">
        <v>0</v>
      </c>
      <c r="U63">
        <v>0</v>
      </c>
      <c r="V63">
        <v>8.4000000000000005E-2</v>
      </c>
      <c r="W63">
        <v>0</v>
      </c>
      <c r="X63" s="2">
        <v>46230</v>
      </c>
    </row>
    <row r="64" spans="1:29" ht="15.75" customHeight="1" x14ac:dyDescent="0.2">
      <c r="A64" t="s">
        <v>24</v>
      </c>
      <c r="B64" t="s">
        <v>25</v>
      </c>
      <c r="C64" t="s">
        <v>147</v>
      </c>
      <c r="D64" t="s">
        <v>448</v>
      </c>
      <c r="E64" t="s">
        <v>28</v>
      </c>
      <c r="F64" t="s">
        <v>28</v>
      </c>
      <c r="H64" s="1" t="s">
        <v>991</v>
      </c>
      <c r="I64" s="12" t="s">
        <v>25</v>
      </c>
      <c r="J64" s="3" t="s">
        <v>151</v>
      </c>
      <c r="K64">
        <v>4.3999999999999997E-2</v>
      </c>
      <c r="L64">
        <v>4.3999999999999997E-2</v>
      </c>
      <c r="M64" s="2">
        <v>45140</v>
      </c>
      <c r="N64" s="2">
        <v>45226</v>
      </c>
      <c r="O64" s="17">
        <v>4.3999999999999997E-2</v>
      </c>
      <c r="P64" s="17">
        <v>0</v>
      </c>
      <c r="Q64" s="17">
        <v>0</v>
      </c>
      <c r="R64">
        <v>0</v>
      </c>
      <c r="S64">
        <v>0</v>
      </c>
      <c r="T64">
        <v>0</v>
      </c>
      <c r="U64">
        <v>4.3999999999999997E-2</v>
      </c>
      <c r="V64">
        <v>0</v>
      </c>
      <c r="W64">
        <v>0</v>
      </c>
      <c r="X64" s="2">
        <v>46230</v>
      </c>
    </row>
    <row r="65" spans="1:24" ht="15.75" customHeight="1" x14ac:dyDescent="0.2">
      <c r="A65" t="s">
        <v>24</v>
      </c>
      <c r="B65" t="s">
        <v>25</v>
      </c>
      <c r="C65" t="s">
        <v>147</v>
      </c>
      <c r="D65" t="s">
        <v>448</v>
      </c>
      <c r="E65" t="s">
        <v>28</v>
      </c>
      <c r="F65" t="s">
        <v>28</v>
      </c>
      <c r="H65" s="1" t="s">
        <v>992</v>
      </c>
      <c r="I65" s="12" t="s">
        <v>993</v>
      </c>
      <c r="J65" s="3" t="s">
        <v>151</v>
      </c>
      <c r="K65">
        <v>0.252</v>
      </c>
      <c r="L65">
        <v>0.252</v>
      </c>
      <c r="M65" s="2">
        <v>45196</v>
      </c>
      <c r="N65" s="2">
        <v>45257</v>
      </c>
      <c r="O65" s="17">
        <v>0.252</v>
      </c>
      <c r="P65" s="17">
        <v>0</v>
      </c>
      <c r="Q65" s="17">
        <v>0</v>
      </c>
      <c r="R65">
        <v>0</v>
      </c>
      <c r="S65">
        <v>0</v>
      </c>
      <c r="T65">
        <v>0</v>
      </c>
      <c r="U65">
        <v>0.252</v>
      </c>
      <c r="V65">
        <v>0</v>
      </c>
      <c r="W65">
        <v>0</v>
      </c>
      <c r="X65" s="2">
        <v>46230</v>
      </c>
    </row>
    <row r="66" spans="1:24" ht="15.75" customHeight="1" x14ac:dyDescent="0.2">
      <c r="A66" t="s">
        <v>24</v>
      </c>
      <c r="B66" t="s">
        <v>25</v>
      </c>
      <c r="C66" t="s">
        <v>147</v>
      </c>
      <c r="D66" t="s">
        <v>448</v>
      </c>
      <c r="E66" t="s">
        <v>28</v>
      </c>
      <c r="F66" t="s">
        <v>28</v>
      </c>
      <c r="H66" s="1" t="s">
        <v>994</v>
      </c>
      <c r="I66" s="12" t="s">
        <v>995</v>
      </c>
      <c r="J66" s="3" t="s">
        <v>151</v>
      </c>
      <c r="K66">
        <v>4.9000000000000002E-2</v>
      </c>
      <c r="L66">
        <v>4.9000000000000002E-2</v>
      </c>
      <c r="M66" s="2">
        <v>45449</v>
      </c>
      <c r="N66" s="2">
        <v>45820</v>
      </c>
      <c r="O66" s="17">
        <v>4.9000000000000002E-2</v>
      </c>
      <c r="P66" s="17">
        <v>0</v>
      </c>
      <c r="Q66" s="17">
        <v>0</v>
      </c>
      <c r="R66">
        <v>0</v>
      </c>
      <c r="S66">
        <v>0</v>
      </c>
      <c r="T66">
        <v>4.9000000000000002E-2</v>
      </c>
      <c r="U66">
        <v>0</v>
      </c>
      <c r="V66">
        <v>0</v>
      </c>
      <c r="W66">
        <v>0</v>
      </c>
      <c r="X66" s="2">
        <v>46230</v>
      </c>
    </row>
    <row r="67" spans="1:24" ht="15.75" customHeight="1" x14ac:dyDescent="0.2">
      <c r="A67" t="s">
        <v>24</v>
      </c>
      <c r="B67" t="s">
        <v>25</v>
      </c>
      <c r="C67" t="s">
        <v>147</v>
      </c>
      <c r="D67" t="s">
        <v>448</v>
      </c>
      <c r="E67" t="s">
        <v>28</v>
      </c>
      <c r="F67" t="s">
        <v>28</v>
      </c>
      <c r="H67" s="1" t="s">
        <v>996</v>
      </c>
      <c r="I67" s="12" t="s">
        <v>25</v>
      </c>
      <c r="J67" s="3" t="s">
        <v>151</v>
      </c>
      <c r="K67">
        <v>8.5000000000000006E-2</v>
      </c>
      <c r="L67">
        <v>8.5000000000000006E-2</v>
      </c>
      <c r="M67" s="2">
        <v>45769</v>
      </c>
      <c r="N67" s="2">
        <v>45799</v>
      </c>
      <c r="O67" s="17">
        <v>8.5000000000000006E-2</v>
      </c>
      <c r="P67" s="17">
        <v>8.5000000000000006E-2</v>
      </c>
      <c r="Q67" s="17">
        <v>8.5000000000000006E-2</v>
      </c>
      <c r="R67">
        <v>0</v>
      </c>
      <c r="S67">
        <v>8.5000000000000006E-2</v>
      </c>
      <c r="T67">
        <v>0</v>
      </c>
      <c r="U67">
        <v>0</v>
      </c>
      <c r="V67">
        <v>0</v>
      </c>
      <c r="W67">
        <v>0</v>
      </c>
      <c r="X67" s="2">
        <v>46230</v>
      </c>
    </row>
    <row r="68" spans="1:24" ht="15.75" customHeight="1" x14ac:dyDescent="0.2">
      <c r="A68" t="s">
        <v>24</v>
      </c>
      <c r="B68" t="s">
        <v>25</v>
      </c>
      <c r="C68" t="s">
        <v>147</v>
      </c>
      <c r="D68" t="s">
        <v>448</v>
      </c>
      <c r="E68" t="s">
        <v>28</v>
      </c>
      <c r="F68" t="s">
        <v>28</v>
      </c>
      <c r="H68" s="1" t="s">
        <v>997</v>
      </c>
      <c r="I68" s="12" t="s">
        <v>998</v>
      </c>
      <c r="J68" s="3" t="s">
        <v>151</v>
      </c>
      <c r="K68">
        <v>1.2E-2</v>
      </c>
      <c r="L68">
        <v>1.2E-2</v>
      </c>
      <c r="M68" s="2">
        <v>45755</v>
      </c>
      <c r="N68" s="2">
        <v>45808</v>
      </c>
      <c r="O68" s="17">
        <v>1.2E-2</v>
      </c>
      <c r="P68" s="17">
        <v>1.2E-2</v>
      </c>
      <c r="Q68" s="17">
        <v>1.2E-2</v>
      </c>
      <c r="R68">
        <v>0</v>
      </c>
      <c r="S68">
        <v>1.2E-2</v>
      </c>
      <c r="T68">
        <v>0</v>
      </c>
      <c r="U68">
        <v>0</v>
      </c>
      <c r="V68">
        <v>0</v>
      </c>
      <c r="W68">
        <v>0</v>
      </c>
      <c r="X68" s="2">
        <v>46230</v>
      </c>
    </row>
    <row r="69" spans="1:24" ht="15.75" customHeight="1" x14ac:dyDescent="0.2">
      <c r="A69" t="s">
        <v>24</v>
      </c>
      <c r="B69" t="s">
        <v>25</v>
      </c>
      <c r="C69" t="s">
        <v>147</v>
      </c>
      <c r="D69" t="s">
        <v>448</v>
      </c>
      <c r="E69" t="s">
        <v>28</v>
      </c>
      <c r="F69" t="s">
        <v>28</v>
      </c>
      <c r="H69" s="1" t="s">
        <v>999</v>
      </c>
      <c r="I69" s="12" t="s">
        <v>1000</v>
      </c>
      <c r="J69" s="3" t="s">
        <v>151</v>
      </c>
      <c r="K69">
        <v>0.01</v>
      </c>
      <c r="L69">
        <v>0.01</v>
      </c>
      <c r="M69" s="2">
        <v>45680</v>
      </c>
      <c r="N69" s="2">
        <v>45808</v>
      </c>
      <c r="O69" s="17">
        <v>0.01</v>
      </c>
      <c r="P69" s="17">
        <v>0.01</v>
      </c>
      <c r="Q69" s="17">
        <v>0.01</v>
      </c>
      <c r="R69">
        <v>0</v>
      </c>
      <c r="S69">
        <v>0.01</v>
      </c>
      <c r="T69">
        <v>0</v>
      </c>
      <c r="U69">
        <v>0</v>
      </c>
      <c r="V69">
        <v>0</v>
      </c>
      <c r="W69">
        <v>0</v>
      </c>
      <c r="X69" s="2">
        <v>46230</v>
      </c>
    </row>
    <row r="70" spans="1:24" ht="15.75" customHeight="1" x14ac:dyDescent="0.2">
      <c r="A70" t="s">
        <v>24</v>
      </c>
      <c r="B70" t="s">
        <v>25</v>
      </c>
      <c r="C70" t="s">
        <v>147</v>
      </c>
      <c r="D70" t="s">
        <v>448</v>
      </c>
      <c r="E70" t="s">
        <v>44</v>
      </c>
      <c r="F70" t="s">
        <v>44</v>
      </c>
      <c r="H70" s="1" t="s">
        <v>1001</v>
      </c>
      <c r="I70" s="12" t="s">
        <v>459</v>
      </c>
      <c r="J70" s="3" t="s">
        <v>151</v>
      </c>
      <c r="K70">
        <v>2.9000000000000001E-2</v>
      </c>
      <c r="L70">
        <v>2.9000000000000001E-2</v>
      </c>
      <c r="M70" s="2">
        <v>44750</v>
      </c>
      <c r="N70" s="2">
        <v>44838</v>
      </c>
      <c r="O70" s="17">
        <v>2.9000000000000001E-2</v>
      </c>
      <c r="P70" s="17">
        <v>0</v>
      </c>
      <c r="Q70" s="17">
        <v>0</v>
      </c>
      <c r="R70">
        <v>0</v>
      </c>
      <c r="S70">
        <v>0</v>
      </c>
      <c r="T70">
        <v>0</v>
      </c>
      <c r="U70">
        <v>0</v>
      </c>
      <c r="V70">
        <v>2.9000000000000001E-2</v>
      </c>
      <c r="W70">
        <v>0</v>
      </c>
      <c r="X70" s="2">
        <v>46230</v>
      </c>
    </row>
    <row r="71" spans="1:24" ht="15.75" customHeight="1" x14ac:dyDescent="0.2">
      <c r="A71" t="s">
        <v>24</v>
      </c>
      <c r="B71" t="s">
        <v>25</v>
      </c>
      <c r="C71" t="s">
        <v>147</v>
      </c>
      <c r="D71" t="s">
        <v>448</v>
      </c>
      <c r="E71" t="s">
        <v>78</v>
      </c>
      <c r="F71" t="s">
        <v>78</v>
      </c>
      <c r="H71" s="1" t="s">
        <v>1002</v>
      </c>
      <c r="I71" s="12" t="s">
        <v>1003</v>
      </c>
      <c r="J71" s="3" t="s">
        <v>151</v>
      </c>
      <c r="K71">
        <v>3.1E-2</v>
      </c>
      <c r="L71">
        <v>3.1E-2</v>
      </c>
      <c r="M71" s="2">
        <v>44736</v>
      </c>
      <c r="N71" s="2">
        <v>44735</v>
      </c>
      <c r="O71" s="17">
        <v>3.1E-2</v>
      </c>
      <c r="P71" s="17">
        <v>0</v>
      </c>
      <c r="Q71" s="17">
        <v>0</v>
      </c>
      <c r="R71">
        <v>0</v>
      </c>
      <c r="S71">
        <v>0</v>
      </c>
      <c r="T71">
        <v>0</v>
      </c>
      <c r="U71">
        <v>0</v>
      </c>
      <c r="V71">
        <v>3.1E-2</v>
      </c>
      <c r="W71">
        <v>0</v>
      </c>
      <c r="X71" s="2">
        <v>46230</v>
      </c>
    </row>
    <row r="72" spans="1:24" ht="15.75" customHeight="1" x14ac:dyDescent="0.2">
      <c r="A72" t="s">
        <v>24</v>
      </c>
      <c r="B72" t="s">
        <v>25</v>
      </c>
      <c r="C72" t="s">
        <v>147</v>
      </c>
      <c r="D72" t="s">
        <v>448</v>
      </c>
      <c r="E72" t="s">
        <v>44</v>
      </c>
      <c r="F72" t="s">
        <v>44</v>
      </c>
      <c r="H72" s="1" t="s">
        <v>1004</v>
      </c>
      <c r="I72" s="12" t="s">
        <v>1005</v>
      </c>
      <c r="J72" s="3" t="s">
        <v>151</v>
      </c>
      <c r="K72">
        <v>2.1000000000000001E-2</v>
      </c>
      <c r="L72">
        <v>2.1000000000000001E-2</v>
      </c>
      <c r="M72" s="2">
        <v>44735</v>
      </c>
      <c r="N72" s="2">
        <v>44835</v>
      </c>
      <c r="O72" s="17">
        <v>2.1000000000000001E-2</v>
      </c>
      <c r="P72" s="17">
        <v>0</v>
      </c>
      <c r="Q72" s="17">
        <v>0</v>
      </c>
      <c r="R72">
        <v>0</v>
      </c>
      <c r="S72">
        <v>0</v>
      </c>
      <c r="T72">
        <v>0</v>
      </c>
      <c r="U72">
        <v>0</v>
      </c>
      <c r="V72">
        <v>2.1000000000000001E-2</v>
      </c>
      <c r="W72">
        <v>0</v>
      </c>
      <c r="X72" s="2">
        <v>46230</v>
      </c>
    </row>
    <row r="73" spans="1:24" ht="15.75" customHeight="1" x14ac:dyDescent="0.2">
      <c r="A73" t="s">
        <v>24</v>
      </c>
      <c r="B73" t="s">
        <v>25</v>
      </c>
      <c r="C73" t="s">
        <v>147</v>
      </c>
      <c r="D73" t="s">
        <v>448</v>
      </c>
      <c r="E73" t="s">
        <v>44</v>
      </c>
      <c r="F73" t="s">
        <v>44</v>
      </c>
      <c r="H73" s="1" t="s">
        <v>1006</v>
      </c>
      <c r="I73" s="12" t="s">
        <v>1007</v>
      </c>
      <c r="J73" s="3" t="s">
        <v>151</v>
      </c>
      <c r="K73">
        <v>2.1000000000000001E-2</v>
      </c>
      <c r="L73">
        <v>2.1000000000000001E-2</v>
      </c>
      <c r="M73" s="2">
        <v>44735</v>
      </c>
      <c r="N73" s="2">
        <v>44835</v>
      </c>
      <c r="O73" s="17">
        <v>2.1000000000000001E-2</v>
      </c>
      <c r="P73" s="17">
        <v>0</v>
      </c>
      <c r="Q73" s="17">
        <v>0</v>
      </c>
      <c r="R73">
        <v>0</v>
      </c>
      <c r="S73">
        <v>0</v>
      </c>
      <c r="T73">
        <v>0</v>
      </c>
      <c r="U73">
        <v>0</v>
      </c>
      <c r="V73">
        <v>2.1000000000000001E-2</v>
      </c>
      <c r="W73">
        <v>0</v>
      </c>
      <c r="X73" s="2">
        <v>46230</v>
      </c>
    </row>
    <row r="74" spans="1:24" ht="15.75" customHeight="1" x14ac:dyDescent="0.2">
      <c r="A74" t="s">
        <v>24</v>
      </c>
      <c r="B74" t="s">
        <v>25</v>
      </c>
      <c r="C74" t="s">
        <v>147</v>
      </c>
      <c r="D74" t="s">
        <v>448</v>
      </c>
      <c r="E74" t="s">
        <v>44</v>
      </c>
      <c r="F74" t="s">
        <v>44</v>
      </c>
      <c r="H74" s="1" t="s">
        <v>1008</v>
      </c>
      <c r="I74" s="12" t="s">
        <v>1009</v>
      </c>
      <c r="J74" s="3" t="s">
        <v>151</v>
      </c>
      <c r="K74">
        <v>0.02</v>
      </c>
      <c r="L74">
        <v>0.02</v>
      </c>
      <c r="M74" s="2">
        <v>44706</v>
      </c>
      <c r="N74" s="2">
        <v>44756</v>
      </c>
      <c r="O74" s="17">
        <v>0.02</v>
      </c>
      <c r="P74" s="17">
        <v>0</v>
      </c>
      <c r="Q74" s="17">
        <v>0</v>
      </c>
      <c r="R74">
        <v>0</v>
      </c>
      <c r="S74">
        <v>0</v>
      </c>
      <c r="T74">
        <v>0</v>
      </c>
      <c r="U74">
        <v>0</v>
      </c>
      <c r="V74">
        <v>0.02</v>
      </c>
      <c r="W74">
        <v>0</v>
      </c>
      <c r="X74" s="2">
        <v>46230</v>
      </c>
    </row>
    <row r="75" spans="1:24" ht="15.75" customHeight="1" x14ac:dyDescent="0.2">
      <c r="A75" t="s">
        <v>24</v>
      </c>
      <c r="B75" t="s">
        <v>25</v>
      </c>
      <c r="C75" t="s">
        <v>147</v>
      </c>
      <c r="D75" t="s">
        <v>448</v>
      </c>
      <c r="E75" t="s">
        <v>78</v>
      </c>
      <c r="F75" t="s">
        <v>78</v>
      </c>
      <c r="H75" s="1" t="s">
        <v>1010</v>
      </c>
      <c r="I75" s="12" t="s">
        <v>453</v>
      </c>
      <c r="J75" s="3" t="s">
        <v>151</v>
      </c>
      <c r="K75">
        <v>0.16600000000000001</v>
      </c>
      <c r="L75">
        <v>0.16600000000000001</v>
      </c>
      <c r="M75" s="2">
        <v>44656</v>
      </c>
      <c r="N75" s="2">
        <v>45020</v>
      </c>
      <c r="O75" s="17">
        <v>0.16600000000000001</v>
      </c>
      <c r="P75" s="17">
        <v>0</v>
      </c>
      <c r="Q75" s="17">
        <v>0</v>
      </c>
      <c r="R75">
        <v>0</v>
      </c>
      <c r="S75">
        <v>0</v>
      </c>
      <c r="T75">
        <v>0</v>
      </c>
      <c r="U75">
        <v>0</v>
      </c>
      <c r="V75">
        <v>0.16600000000000001</v>
      </c>
      <c r="W75">
        <v>0</v>
      </c>
      <c r="X75" s="2">
        <v>46230</v>
      </c>
    </row>
    <row r="76" spans="1:24" ht="15.75" customHeight="1" x14ac:dyDescent="0.2">
      <c r="A76" t="s">
        <v>24</v>
      </c>
      <c r="B76" t="s">
        <v>69</v>
      </c>
      <c r="C76" t="s">
        <v>1020</v>
      </c>
      <c r="D76" t="s">
        <v>71</v>
      </c>
      <c r="E76" t="s">
        <v>28</v>
      </c>
      <c r="F76" t="s">
        <v>28</v>
      </c>
      <c r="H76" s="1" t="s">
        <v>72</v>
      </c>
      <c r="I76" s="12" t="s">
        <v>73</v>
      </c>
      <c r="J76" s="3" t="s">
        <v>40</v>
      </c>
      <c r="K76">
        <v>6.3</v>
      </c>
      <c r="L76">
        <v>6.3</v>
      </c>
      <c r="M76" s="2">
        <v>46190</v>
      </c>
      <c r="O76" s="17">
        <v>6.3</v>
      </c>
      <c r="P76" s="17">
        <v>6.3</v>
      </c>
      <c r="Q76" s="17">
        <v>6.3</v>
      </c>
      <c r="R76">
        <v>6.3</v>
      </c>
      <c r="S76">
        <v>0</v>
      </c>
      <c r="T76">
        <v>0</v>
      </c>
      <c r="U76">
        <v>0</v>
      </c>
      <c r="V76">
        <v>0</v>
      </c>
      <c r="W76">
        <v>0</v>
      </c>
      <c r="X76" s="2">
        <v>46230</v>
      </c>
    </row>
    <row r="77" spans="1:24" ht="15.75" customHeight="1" x14ac:dyDescent="0.2">
      <c r="A77" t="s">
        <v>24</v>
      </c>
      <c r="B77" t="s">
        <v>69</v>
      </c>
      <c r="C77" t="s">
        <v>1020</v>
      </c>
      <c r="D77" t="s">
        <v>71</v>
      </c>
      <c r="E77" t="s">
        <v>28</v>
      </c>
      <c r="F77" t="s">
        <v>28</v>
      </c>
      <c r="H77" s="7" t="s">
        <v>864</v>
      </c>
      <c r="I77" s="12" t="s">
        <v>865</v>
      </c>
      <c r="J77" s="3" t="s">
        <v>40</v>
      </c>
      <c r="K77">
        <v>1.95</v>
      </c>
      <c r="L77">
        <v>1.95</v>
      </c>
      <c r="M77" s="2">
        <v>46162</v>
      </c>
      <c r="N77" s="2"/>
      <c r="O77" s="17">
        <v>1.95</v>
      </c>
      <c r="P77" s="17">
        <v>1.95</v>
      </c>
      <c r="Q77" s="17">
        <v>1.95</v>
      </c>
      <c r="R77">
        <v>1.95</v>
      </c>
      <c r="S77">
        <v>0</v>
      </c>
      <c r="T77">
        <v>0</v>
      </c>
      <c r="U77">
        <v>0</v>
      </c>
      <c r="V77">
        <v>0</v>
      </c>
      <c r="W77">
        <v>0</v>
      </c>
      <c r="X77" s="2">
        <v>46230</v>
      </c>
    </row>
    <row r="78" spans="1:24" ht="15.75" customHeight="1" x14ac:dyDescent="0.2">
      <c r="A78" t="s">
        <v>24</v>
      </c>
      <c r="B78" t="s">
        <v>69</v>
      </c>
      <c r="C78" t="s">
        <v>1020</v>
      </c>
      <c r="D78" t="s">
        <v>71</v>
      </c>
      <c r="E78" t="s">
        <v>28</v>
      </c>
      <c r="F78" t="s">
        <v>28</v>
      </c>
      <c r="H78" s="1" t="s">
        <v>866</v>
      </c>
      <c r="I78" s="12" t="s">
        <v>867</v>
      </c>
      <c r="J78" s="3" t="s">
        <v>40</v>
      </c>
      <c r="K78">
        <v>0.52100000000000002</v>
      </c>
      <c r="L78">
        <v>0.52100000000000002</v>
      </c>
      <c r="M78" s="2">
        <v>46057</v>
      </c>
      <c r="N78" s="2">
        <v>46093</v>
      </c>
      <c r="O78" s="17">
        <v>0.52100000000000002</v>
      </c>
      <c r="P78" s="17">
        <v>0.52100000000000002</v>
      </c>
      <c r="Q78" s="17">
        <v>0.52100000000000002</v>
      </c>
      <c r="R78">
        <v>0.52100000000000002</v>
      </c>
      <c r="S78">
        <v>0</v>
      </c>
      <c r="T78">
        <v>0</v>
      </c>
      <c r="U78">
        <v>0</v>
      </c>
      <c r="V78">
        <v>0</v>
      </c>
      <c r="W78">
        <v>0</v>
      </c>
      <c r="X78" s="2">
        <v>46230</v>
      </c>
    </row>
    <row r="79" spans="1:24" ht="15.75" customHeight="1" x14ac:dyDescent="0.2">
      <c r="A79" t="s">
        <v>24</v>
      </c>
      <c r="B79" t="s">
        <v>69</v>
      </c>
      <c r="C79" t="s">
        <v>1020</v>
      </c>
      <c r="D79" t="s">
        <v>71</v>
      </c>
      <c r="E79" t="s">
        <v>28</v>
      </c>
      <c r="F79" t="s">
        <v>28</v>
      </c>
      <c r="H79" s="1" t="s">
        <v>868</v>
      </c>
      <c r="I79" s="12" t="s">
        <v>869</v>
      </c>
      <c r="J79" s="3" t="s">
        <v>40</v>
      </c>
      <c r="K79">
        <v>4.8000000000000001E-2</v>
      </c>
      <c r="L79">
        <v>0.504</v>
      </c>
      <c r="M79" s="2">
        <v>46022</v>
      </c>
      <c r="O79" s="17">
        <v>4.8000000000000001E-2</v>
      </c>
      <c r="P79" s="17">
        <v>4.8000000000000001E-2</v>
      </c>
      <c r="Q79" s="17">
        <v>4.8000000000000001E-2</v>
      </c>
      <c r="R79">
        <v>0</v>
      </c>
      <c r="S79">
        <v>4.8000000000000001E-2</v>
      </c>
      <c r="T79">
        <v>0</v>
      </c>
      <c r="U79">
        <v>0</v>
      </c>
      <c r="V79">
        <v>0</v>
      </c>
      <c r="W79">
        <v>0</v>
      </c>
      <c r="X79" s="2">
        <v>46230</v>
      </c>
    </row>
    <row r="80" spans="1:24" ht="15.75" customHeight="1" x14ac:dyDescent="0.2">
      <c r="A80" t="s">
        <v>24</v>
      </c>
      <c r="B80" t="s">
        <v>69</v>
      </c>
      <c r="C80" t="s">
        <v>1020</v>
      </c>
      <c r="D80" t="s">
        <v>71</v>
      </c>
      <c r="E80" t="s">
        <v>28</v>
      </c>
      <c r="F80" t="s">
        <v>28</v>
      </c>
      <c r="H80" s="1" t="s">
        <v>870</v>
      </c>
      <c r="I80" s="12" t="s">
        <v>871</v>
      </c>
      <c r="J80" s="3" t="s">
        <v>40</v>
      </c>
      <c r="K80">
        <v>1.5</v>
      </c>
      <c r="L80">
        <v>1.5</v>
      </c>
      <c r="M80" s="2">
        <v>45912</v>
      </c>
      <c r="N80" s="2">
        <v>46065</v>
      </c>
      <c r="O80" s="17">
        <v>1.5</v>
      </c>
      <c r="P80" s="17">
        <v>1.5</v>
      </c>
      <c r="Q80" s="17">
        <v>1.5</v>
      </c>
      <c r="R80">
        <v>0</v>
      </c>
      <c r="S80">
        <v>1.5</v>
      </c>
      <c r="T80">
        <v>0</v>
      </c>
      <c r="U80">
        <v>0</v>
      </c>
      <c r="V80">
        <v>0</v>
      </c>
      <c r="W80">
        <v>0</v>
      </c>
      <c r="X80" s="2">
        <v>46230</v>
      </c>
    </row>
    <row r="81" spans="1:24" ht="15.75" customHeight="1" x14ac:dyDescent="0.2">
      <c r="A81" t="s">
        <v>24</v>
      </c>
      <c r="B81" t="s">
        <v>69</v>
      </c>
      <c r="C81" t="s">
        <v>1020</v>
      </c>
      <c r="D81" t="s">
        <v>71</v>
      </c>
      <c r="E81" t="s">
        <v>44</v>
      </c>
      <c r="F81" t="s">
        <v>44</v>
      </c>
      <c r="H81" s="1" t="s">
        <v>872</v>
      </c>
      <c r="I81" s="12" t="s">
        <v>873</v>
      </c>
      <c r="J81" s="3" t="s">
        <v>40</v>
      </c>
      <c r="K81">
        <v>1.7999999999999999E-2</v>
      </c>
      <c r="L81">
        <v>1.7999999999999999E-2</v>
      </c>
      <c r="M81" s="2">
        <v>45894</v>
      </c>
      <c r="N81" s="2">
        <v>45985</v>
      </c>
      <c r="O81" s="17">
        <v>1.7999999999999999E-2</v>
      </c>
      <c r="P81" s="17">
        <v>1.7999999999999999E-2</v>
      </c>
      <c r="Q81" s="17">
        <v>1.7999999999999999E-2</v>
      </c>
      <c r="R81">
        <v>0</v>
      </c>
      <c r="S81">
        <v>1.7999999999999999E-2</v>
      </c>
      <c r="T81">
        <v>0</v>
      </c>
      <c r="U81">
        <v>0</v>
      </c>
      <c r="V81">
        <v>0</v>
      </c>
      <c r="W81">
        <v>0</v>
      </c>
      <c r="X81" s="2">
        <v>46230</v>
      </c>
    </row>
    <row r="82" spans="1:24" ht="15.75" customHeight="1" x14ac:dyDescent="0.2">
      <c r="A82" t="s">
        <v>24</v>
      </c>
      <c r="B82" t="s">
        <v>69</v>
      </c>
      <c r="C82" t="s">
        <v>1020</v>
      </c>
      <c r="D82" t="s">
        <v>71</v>
      </c>
      <c r="E82" t="s">
        <v>28</v>
      </c>
      <c r="F82" t="s">
        <v>28</v>
      </c>
      <c r="H82" s="1" t="s">
        <v>874</v>
      </c>
      <c r="I82" s="12" t="s">
        <v>875</v>
      </c>
      <c r="J82" s="3" t="s">
        <v>40</v>
      </c>
      <c r="K82">
        <v>1.6</v>
      </c>
      <c r="L82">
        <v>1.6</v>
      </c>
      <c r="M82" s="2">
        <v>45826</v>
      </c>
      <c r="N82" s="2">
        <v>45912</v>
      </c>
      <c r="O82" s="17">
        <v>1.6</v>
      </c>
      <c r="P82" s="17">
        <v>1.6</v>
      </c>
      <c r="Q82" s="17">
        <v>1.6</v>
      </c>
      <c r="R82">
        <v>0</v>
      </c>
      <c r="S82">
        <v>1.6</v>
      </c>
      <c r="T82">
        <v>0</v>
      </c>
      <c r="U82">
        <v>0</v>
      </c>
      <c r="V82">
        <v>0</v>
      </c>
      <c r="W82">
        <v>0</v>
      </c>
      <c r="X82" s="2">
        <v>46230</v>
      </c>
    </row>
    <row r="83" spans="1:24" ht="15.75" customHeight="1" x14ac:dyDescent="0.2">
      <c r="A83" t="s">
        <v>24</v>
      </c>
      <c r="B83" t="s">
        <v>69</v>
      </c>
      <c r="C83" t="s">
        <v>1020</v>
      </c>
      <c r="D83" t="s">
        <v>71</v>
      </c>
      <c r="E83" t="s">
        <v>44</v>
      </c>
      <c r="F83" t="s">
        <v>44</v>
      </c>
      <c r="H83" s="1" t="s">
        <v>876</v>
      </c>
      <c r="I83" s="12" t="s">
        <v>877</v>
      </c>
      <c r="J83" s="3" t="s">
        <v>40</v>
      </c>
      <c r="K83">
        <v>5.0999999999999996</v>
      </c>
      <c r="L83">
        <v>5.0999999999999996</v>
      </c>
      <c r="M83" s="2">
        <v>45726</v>
      </c>
      <c r="N83" s="2">
        <v>46054</v>
      </c>
      <c r="O83" s="17">
        <v>5.0999999999999996</v>
      </c>
      <c r="P83" s="17">
        <v>5.0999999999999996</v>
      </c>
      <c r="Q83" s="17">
        <v>5.0999999999999996</v>
      </c>
      <c r="R83">
        <v>0</v>
      </c>
      <c r="S83">
        <v>5.0999999999999996</v>
      </c>
      <c r="T83">
        <v>0</v>
      </c>
      <c r="U83">
        <v>0</v>
      </c>
      <c r="V83">
        <v>0</v>
      </c>
      <c r="W83">
        <v>0</v>
      </c>
      <c r="X83" s="2">
        <v>46230</v>
      </c>
    </row>
    <row r="84" spans="1:24" ht="15.75" customHeight="1" x14ac:dyDescent="0.2">
      <c r="A84" t="s">
        <v>24</v>
      </c>
      <c r="B84" t="s">
        <v>69</v>
      </c>
      <c r="C84" t="s">
        <v>1020</v>
      </c>
      <c r="D84" t="s">
        <v>71</v>
      </c>
      <c r="E84" t="s">
        <v>44</v>
      </c>
      <c r="F84" t="s">
        <v>44</v>
      </c>
      <c r="H84" s="1" t="s">
        <v>878</v>
      </c>
      <c r="I84" s="12" t="s">
        <v>879</v>
      </c>
      <c r="J84" s="3" t="s">
        <v>40</v>
      </c>
      <c r="K84">
        <v>7.2</v>
      </c>
      <c r="L84">
        <v>7.2</v>
      </c>
      <c r="M84" s="2">
        <v>45560</v>
      </c>
      <c r="N84" s="2">
        <v>45924</v>
      </c>
      <c r="O84" s="17">
        <v>7.2</v>
      </c>
      <c r="P84" s="17">
        <v>0</v>
      </c>
      <c r="Q84" s="17">
        <v>0</v>
      </c>
      <c r="R84">
        <v>0</v>
      </c>
      <c r="S84">
        <v>0</v>
      </c>
      <c r="T84">
        <v>7.2</v>
      </c>
      <c r="U84">
        <v>0</v>
      </c>
      <c r="V84">
        <v>0</v>
      </c>
      <c r="W84">
        <v>0</v>
      </c>
      <c r="X84" s="2">
        <v>46230</v>
      </c>
    </row>
    <row r="85" spans="1:24" ht="15.75" customHeight="1" x14ac:dyDescent="0.2">
      <c r="A85" t="s">
        <v>24</v>
      </c>
      <c r="B85" t="s">
        <v>69</v>
      </c>
      <c r="C85" t="s">
        <v>1020</v>
      </c>
      <c r="D85" t="s">
        <v>71</v>
      </c>
      <c r="E85" t="s">
        <v>28</v>
      </c>
      <c r="F85" t="s">
        <v>28</v>
      </c>
      <c r="H85" s="1" t="s">
        <v>880</v>
      </c>
      <c r="I85" s="12" t="s">
        <v>881</v>
      </c>
      <c r="J85" s="3" t="s">
        <v>40</v>
      </c>
      <c r="K85">
        <v>0.36099999999999999</v>
      </c>
      <c r="L85">
        <v>0.36099999999999999</v>
      </c>
      <c r="M85" s="2">
        <v>45544</v>
      </c>
      <c r="N85" s="2">
        <v>45908</v>
      </c>
      <c r="O85" s="17">
        <v>0.36099999999999999</v>
      </c>
      <c r="P85" s="17">
        <v>0</v>
      </c>
      <c r="Q85" s="17">
        <v>0</v>
      </c>
      <c r="R85">
        <v>0</v>
      </c>
      <c r="S85">
        <v>0</v>
      </c>
      <c r="T85">
        <v>0.36099999999999999</v>
      </c>
      <c r="U85">
        <v>0</v>
      </c>
      <c r="V85">
        <v>0</v>
      </c>
      <c r="W85">
        <v>0</v>
      </c>
      <c r="X85" s="2">
        <v>46230</v>
      </c>
    </row>
    <row r="86" spans="1:24" ht="15.75" customHeight="1" x14ac:dyDescent="0.2">
      <c r="A86" t="s">
        <v>24</v>
      </c>
      <c r="B86" t="s">
        <v>69</v>
      </c>
      <c r="C86" t="s">
        <v>1020</v>
      </c>
      <c r="D86" t="s">
        <v>71</v>
      </c>
      <c r="E86" t="s">
        <v>882</v>
      </c>
      <c r="F86" t="s">
        <v>28</v>
      </c>
      <c r="H86" s="1" t="s">
        <v>883</v>
      </c>
      <c r="I86" s="12" t="s">
        <v>884</v>
      </c>
      <c r="J86" s="3" t="s">
        <v>40</v>
      </c>
      <c r="K86">
        <v>1.9E-2</v>
      </c>
      <c r="L86">
        <v>1.9E-2</v>
      </c>
      <c r="M86" s="2">
        <v>45540</v>
      </c>
      <c r="N86" s="2">
        <v>45567</v>
      </c>
      <c r="O86" s="17">
        <v>1.9E-2</v>
      </c>
      <c r="P86" s="17">
        <v>0</v>
      </c>
      <c r="Q86" s="17">
        <v>0</v>
      </c>
      <c r="R86">
        <v>0</v>
      </c>
      <c r="S86">
        <v>0</v>
      </c>
      <c r="T86">
        <v>1.9E-2</v>
      </c>
      <c r="U86">
        <v>0</v>
      </c>
      <c r="V86">
        <v>0</v>
      </c>
      <c r="W86">
        <v>0</v>
      </c>
      <c r="X86" s="2">
        <v>46230</v>
      </c>
    </row>
    <row r="87" spans="1:24" ht="15.75" customHeight="1" x14ac:dyDescent="0.2">
      <c r="A87" t="s">
        <v>24</v>
      </c>
      <c r="B87" t="s">
        <v>69</v>
      </c>
      <c r="C87" t="s">
        <v>1020</v>
      </c>
      <c r="D87" t="s">
        <v>71</v>
      </c>
      <c r="E87" t="s">
        <v>28</v>
      </c>
      <c r="F87" t="s">
        <v>28</v>
      </c>
      <c r="H87" s="1" t="s">
        <v>885</v>
      </c>
      <c r="I87" s="12" t="s">
        <v>886</v>
      </c>
      <c r="J87" s="3" t="s">
        <v>40</v>
      </c>
      <c r="K87">
        <v>0.151</v>
      </c>
      <c r="L87">
        <v>0.151</v>
      </c>
      <c r="M87" s="2">
        <v>45531</v>
      </c>
      <c r="N87" s="2">
        <v>45895</v>
      </c>
      <c r="O87" s="17">
        <v>0.151</v>
      </c>
      <c r="P87" s="17">
        <v>0</v>
      </c>
      <c r="Q87" s="17">
        <v>0</v>
      </c>
      <c r="R87">
        <v>0</v>
      </c>
      <c r="S87">
        <v>0</v>
      </c>
      <c r="T87">
        <v>0.151</v>
      </c>
      <c r="U87">
        <v>0</v>
      </c>
      <c r="V87">
        <v>0</v>
      </c>
      <c r="W87">
        <v>0</v>
      </c>
      <c r="X87" s="2">
        <v>46230</v>
      </c>
    </row>
    <row r="88" spans="1:24" ht="15.75" customHeight="1" x14ac:dyDescent="0.2">
      <c r="A88" t="s">
        <v>24</v>
      </c>
      <c r="B88" t="s">
        <v>69</v>
      </c>
      <c r="C88" t="s">
        <v>1020</v>
      </c>
      <c r="D88" t="s">
        <v>71</v>
      </c>
      <c r="E88" t="s">
        <v>78</v>
      </c>
      <c r="F88" t="s">
        <v>78</v>
      </c>
      <c r="H88" s="1" t="s">
        <v>887</v>
      </c>
      <c r="I88" s="12" t="s">
        <v>888</v>
      </c>
      <c r="J88" s="3" t="s">
        <v>40</v>
      </c>
      <c r="K88">
        <v>0.41399999999999998</v>
      </c>
      <c r="L88">
        <v>0.41399999999999998</v>
      </c>
      <c r="M88" s="2">
        <v>45485</v>
      </c>
      <c r="N88" s="2">
        <v>45565</v>
      </c>
      <c r="O88" s="17">
        <v>0.41399999999999998</v>
      </c>
      <c r="P88" s="17">
        <v>0</v>
      </c>
      <c r="Q88" s="17">
        <v>0</v>
      </c>
      <c r="R88">
        <v>0</v>
      </c>
      <c r="S88">
        <v>0</v>
      </c>
      <c r="T88">
        <v>0.41399999999999998</v>
      </c>
      <c r="U88">
        <v>0</v>
      </c>
      <c r="V88">
        <v>0</v>
      </c>
      <c r="W88">
        <v>0</v>
      </c>
      <c r="X88" s="2">
        <v>46230</v>
      </c>
    </row>
    <row r="89" spans="1:24" ht="15.75" customHeight="1" x14ac:dyDescent="0.2">
      <c r="A89" t="s">
        <v>24</v>
      </c>
      <c r="B89" t="s">
        <v>69</v>
      </c>
      <c r="C89" t="s">
        <v>1020</v>
      </c>
      <c r="D89" t="s">
        <v>71</v>
      </c>
      <c r="E89" t="s">
        <v>28</v>
      </c>
      <c r="F89" t="s">
        <v>28</v>
      </c>
      <c r="H89" s="1" t="s">
        <v>889</v>
      </c>
      <c r="I89" s="12" t="s">
        <v>890</v>
      </c>
      <c r="J89" s="3" t="s">
        <v>40</v>
      </c>
      <c r="K89">
        <v>5.6</v>
      </c>
      <c r="L89">
        <v>7.7</v>
      </c>
      <c r="M89" s="2">
        <v>45458</v>
      </c>
      <c r="N89" s="2">
        <v>45822</v>
      </c>
      <c r="O89" s="17">
        <v>5.6</v>
      </c>
      <c r="P89" s="17">
        <v>0</v>
      </c>
      <c r="Q89" s="17">
        <v>0</v>
      </c>
      <c r="R89">
        <v>0</v>
      </c>
      <c r="S89">
        <v>0</v>
      </c>
      <c r="T89">
        <v>5.6</v>
      </c>
      <c r="U89">
        <v>0</v>
      </c>
      <c r="V89">
        <v>0</v>
      </c>
      <c r="W89">
        <v>0</v>
      </c>
      <c r="X89" s="2">
        <v>46230</v>
      </c>
    </row>
    <row r="90" spans="1:24" ht="15.75" customHeight="1" x14ac:dyDescent="0.2">
      <c r="A90" t="s">
        <v>24</v>
      </c>
      <c r="B90" t="s">
        <v>69</v>
      </c>
      <c r="C90" t="s">
        <v>1020</v>
      </c>
      <c r="D90" t="s">
        <v>71</v>
      </c>
      <c r="E90" t="s">
        <v>28</v>
      </c>
      <c r="F90" t="s">
        <v>28</v>
      </c>
      <c r="H90" s="1" t="s">
        <v>891</v>
      </c>
      <c r="I90" s="12" t="s">
        <v>892</v>
      </c>
      <c r="J90" s="3" t="s">
        <v>40</v>
      </c>
      <c r="K90">
        <v>5.3</v>
      </c>
      <c r="L90">
        <v>5.3</v>
      </c>
      <c r="M90" s="2">
        <v>45456</v>
      </c>
      <c r="N90" s="2">
        <v>45820</v>
      </c>
      <c r="O90" s="17">
        <v>5.3</v>
      </c>
      <c r="P90" s="17">
        <v>0</v>
      </c>
      <c r="Q90" s="17">
        <v>0</v>
      </c>
      <c r="R90">
        <v>0</v>
      </c>
      <c r="S90">
        <v>0</v>
      </c>
      <c r="T90">
        <v>5.3</v>
      </c>
      <c r="U90">
        <v>0</v>
      </c>
      <c r="V90">
        <v>0</v>
      </c>
      <c r="W90">
        <v>0</v>
      </c>
      <c r="X90" s="2">
        <v>46230</v>
      </c>
    </row>
    <row r="91" spans="1:24" ht="15.75" customHeight="1" x14ac:dyDescent="0.2">
      <c r="A91" t="s">
        <v>24</v>
      </c>
      <c r="B91" t="s">
        <v>69</v>
      </c>
      <c r="C91" t="s">
        <v>1020</v>
      </c>
      <c r="D91" t="s">
        <v>71</v>
      </c>
      <c r="E91" t="s">
        <v>28</v>
      </c>
      <c r="F91" t="s">
        <v>28</v>
      </c>
      <c r="H91" s="1" t="s">
        <v>893</v>
      </c>
      <c r="I91" s="12" t="s">
        <v>894</v>
      </c>
      <c r="J91" s="3" t="s">
        <v>40</v>
      </c>
      <c r="K91">
        <v>1.3</v>
      </c>
      <c r="L91">
        <v>1.3</v>
      </c>
      <c r="M91" s="2">
        <v>45427</v>
      </c>
      <c r="N91" s="2">
        <v>45784</v>
      </c>
      <c r="O91" s="17">
        <v>1.3</v>
      </c>
      <c r="P91" s="17">
        <v>0</v>
      </c>
      <c r="Q91" s="17">
        <v>0</v>
      </c>
      <c r="R91">
        <v>0</v>
      </c>
      <c r="S91">
        <v>0</v>
      </c>
      <c r="T91">
        <v>1.3</v>
      </c>
      <c r="U91">
        <v>0</v>
      </c>
      <c r="V91">
        <v>0</v>
      </c>
      <c r="W91">
        <v>0</v>
      </c>
      <c r="X91" s="2">
        <v>46230</v>
      </c>
    </row>
    <row r="92" spans="1:24" ht="15.75" customHeight="1" x14ac:dyDescent="0.2">
      <c r="A92" t="s">
        <v>24</v>
      </c>
      <c r="B92" t="s">
        <v>69</v>
      </c>
      <c r="C92" t="s">
        <v>1020</v>
      </c>
      <c r="D92" t="s">
        <v>71</v>
      </c>
      <c r="E92" t="s">
        <v>28</v>
      </c>
      <c r="F92" t="s">
        <v>28</v>
      </c>
      <c r="H92" s="1" t="s">
        <v>895</v>
      </c>
      <c r="I92" s="12" t="s">
        <v>896</v>
      </c>
      <c r="J92" s="3" t="s">
        <v>40</v>
      </c>
      <c r="K92">
        <v>0.16300000000000001</v>
      </c>
      <c r="L92">
        <v>0.16300000000000001</v>
      </c>
      <c r="M92" s="2">
        <v>45412</v>
      </c>
      <c r="N92" s="2">
        <v>45776</v>
      </c>
      <c r="O92" s="17">
        <v>0.16300000000000001</v>
      </c>
      <c r="P92" s="17">
        <v>0</v>
      </c>
      <c r="Q92" s="17">
        <v>0</v>
      </c>
      <c r="R92">
        <v>0</v>
      </c>
      <c r="S92">
        <v>0</v>
      </c>
      <c r="T92">
        <v>0.16300000000000001</v>
      </c>
      <c r="U92">
        <v>0</v>
      </c>
      <c r="V92">
        <v>0</v>
      </c>
      <c r="W92">
        <v>0</v>
      </c>
      <c r="X92" s="2">
        <v>46230</v>
      </c>
    </row>
    <row r="93" spans="1:24" ht="15.75" customHeight="1" x14ac:dyDescent="0.2">
      <c r="A93" t="s">
        <v>24</v>
      </c>
      <c r="B93" t="s">
        <v>69</v>
      </c>
      <c r="C93" t="s">
        <v>1020</v>
      </c>
      <c r="D93" t="s">
        <v>71</v>
      </c>
      <c r="E93" t="s">
        <v>28</v>
      </c>
      <c r="F93" t="s">
        <v>28</v>
      </c>
      <c r="H93" s="1" t="s">
        <v>897</v>
      </c>
      <c r="I93" s="12" t="s">
        <v>898</v>
      </c>
      <c r="J93" s="3" t="s">
        <v>40</v>
      </c>
      <c r="K93">
        <v>2.7E-2</v>
      </c>
      <c r="L93">
        <v>2.7E-2</v>
      </c>
      <c r="M93" s="2">
        <v>45379</v>
      </c>
      <c r="N93" s="2">
        <v>45737</v>
      </c>
      <c r="O93" s="17">
        <v>2.7E-2</v>
      </c>
      <c r="P93" s="17">
        <v>0</v>
      </c>
      <c r="Q93" s="17">
        <v>0</v>
      </c>
      <c r="R93">
        <v>0</v>
      </c>
      <c r="S93">
        <v>0</v>
      </c>
      <c r="T93">
        <v>2.7E-2</v>
      </c>
      <c r="U93">
        <v>0</v>
      </c>
      <c r="V93">
        <v>0</v>
      </c>
      <c r="W93">
        <v>0</v>
      </c>
      <c r="X93" s="2">
        <v>46230</v>
      </c>
    </row>
    <row r="94" spans="1:24" ht="15.75" customHeight="1" x14ac:dyDescent="0.2">
      <c r="A94" t="s">
        <v>24</v>
      </c>
      <c r="B94" t="s">
        <v>69</v>
      </c>
      <c r="C94" t="s">
        <v>1020</v>
      </c>
      <c r="D94" t="s">
        <v>71</v>
      </c>
      <c r="E94" t="s">
        <v>28</v>
      </c>
      <c r="F94" t="s">
        <v>28</v>
      </c>
      <c r="H94" s="1" t="s">
        <v>899</v>
      </c>
      <c r="I94" s="12" t="s">
        <v>900</v>
      </c>
      <c r="J94" s="3" t="s">
        <v>40</v>
      </c>
      <c r="K94">
        <v>1.2</v>
      </c>
      <c r="L94">
        <v>1.2</v>
      </c>
      <c r="M94" s="2">
        <v>45282</v>
      </c>
      <c r="N94" s="2">
        <v>45645</v>
      </c>
      <c r="O94" s="17">
        <v>1.2</v>
      </c>
      <c r="P94" s="17">
        <v>0</v>
      </c>
      <c r="Q94" s="17">
        <v>0</v>
      </c>
      <c r="R94">
        <v>0</v>
      </c>
      <c r="S94">
        <v>0</v>
      </c>
      <c r="T94">
        <v>0</v>
      </c>
      <c r="U94">
        <v>1.2</v>
      </c>
      <c r="V94">
        <v>0</v>
      </c>
      <c r="W94">
        <v>0</v>
      </c>
      <c r="X94" s="2">
        <v>46230</v>
      </c>
    </row>
    <row r="95" spans="1:24" ht="15.75" customHeight="1" x14ac:dyDescent="0.2">
      <c r="A95" t="s">
        <v>24</v>
      </c>
      <c r="B95" t="s">
        <v>69</v>
      </c>
      <c r="C95" t="s">
        <v>1020</v>
      </c>
      <c r="D95" t="s">
        <v>71</v>
      </c>
      <c r="E95" t="s">
        <v>36</v>
      </c>
      <c r="F95" t="s">
        <v>553</v>
      </c>
      <c r="H95" s="1" t="s">
        <v>901</v>
      </c>
      <c r="I95" s="12" t="s">
        <v>902</v>
      </c>
      <c r="J95" s="3" t="s">
        <v>40</v>
      </c>
      <c r="K95">
        <v>8.3000000000000007</v>
      </c>
      <c r="L95">
        <v>12.5</v>
      </c>
      <c r="M95" s="2">
        <v>45200</v>
      </c>
      <c r="O95" s="17">
        <v>8.3000000000000007</v>
      </c>
      <c r="P95" s="17">
        <v>2.242</v>
      </c>
      <c r="Q95" s="17">
        <v>2.242</v>
      </c>
      <c r="R95">
        <v>2.242</v>
      </c>
      <c r="S95">
        <v>0</v>
      </c>
      <c r="T95">
        <f>2.105+3.46</f>
        <v>5.5649999999999995</v>
      </c>
      <c r="U95">
        <v>0.47899999999999998</v>
      </c>
      <c r="V95">
        <v>0</v>
      </c>
      <c r="W95">
        <v>0</v>
      </c>
      <c r="X95" s="2">
        <v>46230</v>
      </c>
    </row>
    <row r="96" spans="1:24" ht="15.75" customHeight="1" x14ac:dyDescent="0.2">
      <c r="A96" t="s">
        <v>24</v>
      </c>
      <c r="B96" t="s">
        <v>69</v>
      </c>
      <c r="C96" t="s">
        <v>1020</v>
      </c>
      <c r="D96" t="s">
        <v>71</v>
      </c>
      <c r="E96" t="s">
        <v>44</v>
      </c>
      <c r="F96" t="s">
        <v>44</v>
      </c>
      <c r="H96" s="1" t="s">
        <v>903</v>
      </c>
      <c r="I96" s="12" t="s">
        <v>904</v>
      </c>
      <c r="J96" s="3" t="s">
        <v>40</v>
      </c>
      <c r="K96">
        <v>0.30399999999999999</v>
      </c>
      <c r="L96">
        <v>0.30399999999999999</v>
      </c>
      <c r="M96" s="2">
        <v>45197</v>
      </c>
      <c r="N96" s="2">
        <v>45561</v>
      </c>
      <c r="O96" s="17">
        <v>0.30399999999999999</v>
      </c>
      <c r="P96" s="17">
        <v>0</v>
      </c>
      <c r="Q96" s="17">
        <v>0</v>
      </c>
      <c r="R96">
        <v>0</v>
      </c>
      <c r="S96">
        <v>0</v>
      </c>
      <c r="T96">
        <v>0</v>
      </c>
      <c r="U96">
        <v>0.30399999999999999</v>
      </c>
      <c r="V96">
        <v>0</v>
      </c>
      <c r="W96">
        <v>0</v>
      </c>
      <c r="X96" s="2">
        <v>46230</v>
      </c>
    </row>
    <row r="97" spans="1:24 16384:16384" ht="15.75" customHeight="1" x14ac:dyDescent="0.2">
      <c r="A97" t="s">
        <v>24</v>
      </c>
      <c r="B97" t="s">
        <v>69</v>
      </c>
      <c r="C97" t="s">
        <v>1020</v>
      </c>
      <c r="D97" t="s">
        <v>71</v>
      </c>
      <c r="E97" t="s">
        <v>28</v>
      </c>
      <c r="F97" t="s">
        <v>28</v>
      </c>
      <c r="H97" s="1" t="s">
        <v>905</v>
      </c>
      <c r="I97" s="12" t="s">
        <v>906</v>
      </c>
      <c r="J97" s="3" t="s">
        <v>40</v>
      </c>
      <c r="K97">
        <v>2.7</v>
      </c>
      <c r="L97">
        <v>2.7</v>
      </c>
      <c r="M97" s="2">
        <v>45194</v>
      </c>
      <c r="N97" s="2">
        <v>45595</v>
      </c>
      <c r="O97" s="17">
        <v>2.653</v>
      </c>
      <c r="P97" s="17">
        <v>0</v>
      </c>
      <c r="Q97" s="17">
        <v>0</v>
      </c>
      <c r="R97">
        <v>0</v>
      </c>
      <c r="S97">
        <v>0</v>
      </c>
      <c r="T97">
        <f>2.653-2.653</f>
        <v>0</v>
      </c>
      <c r="U97">
        <v>2.653</v>
      </c>
      <c r="V97">
        <v>0</v>
      </c>
      <c r="W97">
        <v>0</v>
      </c>
      <c r="X97" s="2">
        <v>46230</v>
      </c>
    </row>
    <row r="98" spans="1:24 16384:16384" ht="15.75" customHeight="1" x14ac:dyDescent="0.2">
      <c r="A98" t="s">
        <v>24</v>
      </c>
      <c r="B98" t="s">
        <v>69</v>
      </c>
      <c r="C98" t="s">
        <v>1020</v>
      </c>
      <c r="D98" t="s">
        <v>71</v>
      </c>
      <c r="E98" t="s">
        <v>28</v>
      </c>
      <c r="F98" t="s">
        <v>28</v>
      </c>
      <c r="H98" s="1" t="s">
        <v>907</v>
      </c>
      <c r="I98" s="12" t="s">
        <v>908</v>
      </c>
      <c r="J98" s="3" t="s">
        <v>40</v>
      </c>
      <c r="K98">
        <v>0.47299999999999998</v>
      </c>
      <c r="L98">
        <v>0.47299999999999998</v>
      </c>
      <c r="M98" s="2">
        <v>45181</v>
      </c>
      <c r="N98" s="2">
        <v>45265</v>
      </c>
      <c r="O98" s="17">
        <v>0.47299999999999998</v>
      </c>
      <c r="P98" s="17">
        <v>0</v>
      </c>
      <c r="Q98" s="17">
        <v>0</v>
      </c>
      <c r="R98">
        <v>0</v>
      </c>
      <c r="S98">
        <v>0</v>
      </c>
      <c r="T98">
        <v>0</v>
      </c>
      <c r="U98">
        <v>0.47299999999999998</v>
      </c>
      <c r="V98">
        <v>0</v>
      </c>
      <c r="W98">
        <v>0</v>
      </c>
      <c r="X98" s="2">
        <v>46230</v>
      </c>
    </row>
    <row r="99" spans="1:24 16384:16384" ht="15.75" customHeight="1" x14ac:dyDescent="0.2">
      <c r="A99" t="s">
        <v>24</v>
      </c>
      <c r="B99" t="s">
        <v>69</v>
      </c>
      <c r="C99" t="s">
        <v>1020</v>
      </c>
      <c r="D99" t="s">
        <v>71</v>
      </c>
      <c r="E99" t="s">
        <v>44</v>
      </c>
      <c r="F99" t="s">
        <v>44</v>
      </c>
      <c r="H99" s="1" t="s">
        <v>909</v>
      </c>
      <c r="I99" s="12" t="s">
        <v>910</v>
      </c>
      <c r="J99" s="3" t="s">
        <v>40</v>
      </c>
      <c r="K99">
        <v>3.6</v>
      </c>
      <c r="L99">
        <v>3.6</v>
      </c>
      <c r="M99" s="2">
        <v>45156</v>
      </c>
      <c r="N99" s="2">
        <v>45155</v>
      </c>
      <c r="O99" s="17">
        <v>3.6</v>
      </c>
      <c r="P99" s="17">
        <v>0</v>
      </c>
      <c r="Q99" s="17">
        <v>0</v>
      </c>
      <c r="R99">
        <v>0</v>
      </c>
      <c r="S99">
        <v>0</v>
      </c>
      <c r="T99">
        <v>0</v>
      </c>
      <c r="U99">
        <v>3.6</v>
      </c>
      <c r="V99">
        <v>0</v>
      </c>
      <c r="W99">
        <v>0</v>
      </c>
      <c r="X99" s="2">
        <v>46230</v>
      </c>
    </row>
    <row r="100" spans="1:24 16384:16384" ht="15.75" customHeight="1" x14ac:dyDescent="0.2">
      <c r="A100" t="s">
        <v>24</v>
      </c>
      <c r="B100" t="s">
        <v>69</v>
      </c>
      <c r="C100" t="s">
        <v>1020</v>
      </c>
      <c r="D100" t="s">
        <v>71</v>
      </c>
      <c r="E100" t="s">
        <v>28</v>
      </c>
      <c r="F100" t="s">
        <v>28</v>
      </c>
      <c r="H100" s="1" t="s">
        <v>911</v>
      </c>
      <c r="I100" s="12" t="s">
        <v>912</v>
      </c>
      <c r="J100" s="3" t="s">
        <v>40</v>
      </c>
      <c r="K100">
        <v>1.9</v>
      </c>
      <c r="L100">
        <v>1.9</v>
      </c>
      <c r="M100" s="2">
        <v>45149</v>
      </c>
      <c r="N100" s="2">
        <v>45514</v>
      </c>
      <c r="O100" s="17">
        <v>1.9</v>
      </c>
      <c r="P100" s="17">
        <v>0</v>
      </c>
      <c r="Q100" s="17">
        <v>0</v>
      </c>
      <c r="R100">
        <v>0</v>
      </c>
      <c r="S100">
        <v>0</v>
      </c>
      <c r="T100">
        <v>0</v>
      </c>
      <c r="U100">
        <v>1.9</v>
      </c>
      <c r="V100">
        <v>0</v>
      </c>
      <c r="W100">
        <v>0</v>
      </c>
      <c r="X100" s="2">
        <v>46230</v>
      </c>
    </row>
    <row r="101" spans="1:24 16384:16384" ht="15.75" customHeight="1" x14ac:dyDescent="0.2">
      <c r="A101" t="s">
        <v>24</v>
      </c>
      <c r="B101" t="s">
        <v>69</v>
      </c>
      <c r="C101" t="s">
        <v>1020</v>
      </c>
      <c r="D101" t="s">
        <v>71</v>
      </c>
      <c r="E101" t="s">
        <v>28</v>
      </c>
      <c r="F101" t="s">
        <v>28</v>
      </c>
      <c r="H101" s="1" t="s">
        <v>913</v>
      </c>
      <c r="I101" s="12" t="s">
        <v>898</v>
      </c>
      <c r="J101" s="3" t="s">
        <v>40</v>
      </c>
      <c r="K101">
        <v>5.6</v>
      </c>
      <c r="L101">
        <v>5.6</v>
      </c>
      <c r="M101" s="2">
        <v>45099</v>
      </c>
      <c r="N101" s="2">
        <v>45464</v>
      </c>
      <c r="O101" s="17">
        <v>5.6</v>
      </c>
      <c r="P101" s="17">
        <v>0</v>
      </c>
      <c r="Q101" s="17">
        <v>0</v>
      </c>
      <c r="R101">
        <v>0</v>
      </c>
      <c r="S101">
        <v>0</v>
      </c>
      <c r="T101">
        <v>0</v>
      </c>
      <c r="U101">
        <v>5.6</v>
      </c>
      <c r="V101">
        <v>0</v>
      </c>
      <c r="W101">
        <v>0</v>
      </c>
      <c r="X101" s="2">
        <v>46230</v>
      </c>
    </row>
    <row r="102" spans="1:24 16384:16384" ht="15.75" customHeight="1" x14ac:dyDescent="0.2">
      <c r="A102" t="s">
        <v>24</v>
      </c>
      <c r="B102" t="s">
        <v>69</v>
      </c>
      <c r="C102" t="s">
        <v>1020</v>
      </c>
      <c r="D102" t="s">
        <v>71</v>
      </c>
      <c r="E102" t="s">
        <v>44</v>
      </c>
      <c r="F102" t="s">
        <v>44</v>
      </c>
      <c r="H102" s="7" t="s">
        <v>918</v>
      </c>
      <c r="I102" s="12" t="s">
        <v>919</v>
      </c>
      <c r="J102" s="3" t="s">
        <v>91</v>
      </c>
      <c r="K102">
        <v>0.45800000000000002</v>
      </c>
      <c r="L102">
        <v>0.45800000000000002</v>
      </c>
      <c r="M102" s="2">
        <v>44459</v>
      </c>
      <c r="N102" s="2">
        <v>44827</v>
      </c>
      <c r="O102" s="17">
        <v>0.45800000000000002</v>
      </c>
      <c r="P102" s="17">
        <v>0</v>
      </c>
      <c r="Q102" s="17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0.45800000000000002</v>
      </c>
      <c r="X102" s="2">
        <v>46230</v>
      </c>
    </row>
    <row r="103" spans="1:24 16384:16384" ht="15.75" customHeight="1" x14ac:dyDescent="0.2">
      <c r="A103" t="s">
        <v>24</v>
      </c>
      <c r="B103" t="s">
        <v>69</v>
      </c>
      <c r="C103" t="s">
        <v>1020</v>
      </c>
      <c r="D103" t="s">
        <v>71</v>
      </c>
      <c r="E103" t="s">
        <v>44</v>
      </c>
      <c r="F103" t="s">
        <v>44</v>
      </c>
      <c r="H103" s="7" t="s">
        <v>920</v>
      </c>
      <c r="I103" s="12" t="s">
        <v>921</v>
      </c>
      <c r="J103" s="3" t="s">
        <v>91</v>
      </c>
      <c r="K103">
        <v>0.249</v>
      </c>
      <c r="L103">
        <v>0.249</v>
      </c>
      <c r="M103" s="2">
        <v>44828</v>
      </c>
      <c r="N103" s="2">
        <v>45192</v>
      </c>
      <c r="O103" s="17">
        <v>0.249</v>
      </c>
      <c r="P103" s="17">
        <v>0</v>
      </c>
      <c r="Q103" s="17">
        <v>0</v>
      </c>
      <c r="R103">
        <v>0</v>
      </c>
      <c r="S103">
        <v>0</v>
      </c>
      <c r="T103">
        <v>0</v>
      </c>
      <c r="U103">
        <v>0</v>
      </c>
      <c r="V103">
        <v>0.249</v>
      </c>
      <c r="W103">
        <v>0</v>
      </c>
      <c r="X103" s="2">
        <v>46230</v>
      </c>
    </row>
    <row r="104" spans="1:24 16384:16384" ht="15.75" customHeight="1" x14ac:dyDescent="0.2">
      <c r="A104" t="s">
        <v>24</v>
      </c>
      <c r="B104" t="s">
        <v>69</v>
      </c>
      <c r="C104" t="s">
        <v>1020</v>
      </c>
      <c r="D104" t="s">
        <v>71</v>
      </c>
      <c r="E104" t="s">
        <v>28</v>
      </c>
      <c r="F104" t="s">
        <v>28</v>
      </c>
      <c r="H104" s="1" t="s">
        <v>914</v>
      </c>
      <c r="I104" s="12" t="s">
        <v>915</v>
      </c>
      <c r="J104" s="3" t="s">
        <v>31</v>
      </c>
      <c r="K104">
        <v>20.6</v>
      </c>
      <c r="L104">
        <v>20.6</v>
      </c>
      <c r="M104" s="2">
        <v>44097</v>
      </c>
      <c r="N104" s="2">
        <v>44592</v>
      </c>
      <c r="O104" s="17">
        <v>7.61</v>
      </c>
      <c r="P104" s="17">
        <v>0</v>
      </c>
      <c r="Q104" s="17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7.61</v>
      </c>
      <c r="X104" s="2">
        <v>46230</v>
      </c>
      <c r="XFD104" t="s">
        <v>70</v>
      </c>
    </row>
    <row r="105" spans="1:24 16384:16384" ht="15.75" customHeight="1" x14ac:dyDescent="0.2">
      <c r="A105" t="s">
        <v>24</v>
      </c>
      <c r="B105" t="s">
        <v>69</v>
      </c>
      <c r="C105" t="s">
        <v>1020</v>
      </c>
      <c r="D105" t="s">
        <v>71</v>
      </c>
      <c r="E105" t="s">
        <v>28</v>
      </c>
      <c r="F105" t="s">
        <v>28</v>
      </c>
      <c r="H105" s="1" t="s">
        <v>916</v>
      </c>
      <c r="I105" s="12" t="s">
        <v>917</v>
      </c>
      <c r="J105" s="3" t="s">
        <v>31</v>
      </c>
      <c r="K105">
        <v>2</v>
      </c>
      <c r="L105">
        <v>31.2</v>
      </c>
      <c r="M105" s="2">
        <v>44742</v>
      </c>
      <c r="N105" s="2">
        <v>45106</v>
      </c>
      <c r="O105" s="17">
        <v>2</v>
      </c>
      <c r="P105" s="17">
        <v>0</v>
      </c>
      <c r="Q105" s="17">
        <v>0</v>
      </c>
      <c r="R105">
        <v>0</v>
      </c>
      <c r="S105">
        <v>0</v>
      </c>
      <c r="T105">
        <v>0</v>
      </c>
      <c r="U105">
        <v>0</v>
      </c>
      <c r="V105">
        <v>2.0409999999999999</v>
      </c>
      <c r="W105">
        <v>0</v>
      </c>
      <c r="X105" s="2">
        <v>46230</v>
      </c>
    </row>
    <row r="106" spans="1:24 16384:16384" ht="15.75" customHeight="1" x14ac:dyDescent="0.2">
      <c r="A106" t="s">
        <v>24</v>
      </c>
      <c r="B106" t="s">
        <v>69</v>
      </c>
      <c r="C106" t="s">
        <v>152</v>
      </c>
      <c r="D106" t="s">
        <v>153</v>
      </c>
      <c r="E106" t="s">
        <v>28</v>
      </c>
      <c r="F106" t="s">
        <v>28</v>
      </c>
      <c r="H106" s="1" t="s">
        <v>154</v>
      </c>
      <c r="I106" s="12" t="s">
        <v>155</v>
      </c>
      <c r="J106" s="3" t="s">
        <v>151</v>
      </c>
      <c r="K106">
        <v>2.4</v>
      </c>
      <c r="L106">
        <v>2.4</v>
      </c>
      <c r="M106" s="2">
        <v>44776</v>
      </c>
      <c r="N106" s="2">
        <v>45184</v>
      </c>
      <c r="O106" s="17">
        <v>2.4</v>
      </c>
      <c r="P106" s="17">
        <v>0</v>
      </c>
      <c r="Q106" s="17">
        <v>0</v>
      </c>
      <c r="R106">
        <v>0</v>
      </c>
      <c r="S106">
        <v>0</v>
      </c>
      <c r="T106">
        <v>0</v>
      </c>
      <c r="U106">
        <v>1.6E-2</v>
      </c>
      <c r="V106">
        <v>2.4</v>
      </c>
      <c r="W106">
        <v>0</v>
      </c>
      <c r="X106" s="2">
        <v>46230</v>
      </c>
    </row>
    <row r="107" spans="1:24 16384:16384" ht="15.75" customHeight="1" x14ac:dyDescent="0.2">
      <c r="A107" t="s">
        <v>24</v>
      </c>
      <c r="B107" t="s">
        <v>69</v>
      </c>
      <c r="C107" t="s">
        <v>152</v>
      </c>
      <c r="D107" t="s">
        <v>153</v>
      </c>
      <c r="E107" t="s">
        <v>28</v>
      </c>
      <c r="F107" t="s">
        <v>28</v>
      </c>
      <c r="H107" s="1" t="s">
        <v>694</v>
      </c>
      <c r="I107" s="12" t="s">
        <v>695</v>
      </c>
      <c r="J107" s="3" t="s">
        <v>151</v>
      </c>
      <c r="K107">
        <v>1.5</v>
      </c>
      <c r="L107">
        <v>1.5</v>
      </c>
      <c r="M107" s="2">
        <v>44460</v>
      </c>
      <c r="N107" s="2">
        <v>44824</v>
      </c>
      <c r="O107" s="17">
        <v>1.5</v>
      </c>
      <c r="P107" s="17">
        <v>0</v>
      </c>
      <c r="Q107" s="17">
        <v>0</v>
      </c>
      <c r="R107">
        <v>0</v>
      </c>
      <c r="S107">
        <v>0</v>
      </c>
      <c r="T107">
        <v>0</v>
      </c>
      <c r="U107">
        <v>-7.0000000000000001E-3</v>
      </c>
      <c r="V107">
        <v>1.7000000000000001E-2</v>
      </c>
      <c r="W107">
        <v>1.5</v>
      </c>
      <c r="X107" s="2">
        <v>46230</v>
      </c>
    </row>
    <row r="108" spans="1:24 16384:16384" ht="15.75" customHeight="1" x14ac:dyDescent="0.2">
      <c r="A108" t="s">
        <v>24</v>
      </c>
      <c r="B108" t="s">
        <v>69</v>
      </c>
      <c r="C108" t="s">
        <v>152</v>
      </c>
      <c r="D108" t="s">
        <v>153</v>
      </c>
      <c r="E108" t="s">
        <v>28</v>
      </c>
      <c r="F108" t="s">
        <v>28</v>
      </c>
      <c r="H108" s="1" t="s">
        <v>696</v>
      </c>
      <c r="I108" s="12" t="s">
        <v>697</v>
      </c>
      <c r="J108" s="3" t="s">
        <v>151</v>
      </c>
      <c r="K108">
        <v>2</v>
      </c>
      <c r="L108">
        <v>2</v>
      </c>
      <c r="M108" s="2">
        <v>45463</v>
      </c>
      <c r="N108" s="2">
        <v>45770</v>
      </c>
      <c r="O108" s="17">
        <v>2</v>
      </c>
      <c r="P108" s="17">
        <v>-0.02</v>
      </c>
      <c r="Q108" s="17">
        <v>-0.02</v>
      </c>
      <c r="R108">
        <v>0</v>
      </c>
      <c r="S108">
        <v>-0.02</v>
      </c>
      <c r="T108">
        <v>2</v>
      </c>
      <c r="U108">
        <v>0</v>
      </c>
      <c r="V108">
        <v>0</v>
      </c>
      <c r="W108">
        <v>0</v>
      </c>
      <c r="X108" s="2">
        <v>46230</v>
      </c>
    </row>
    <row r="109" spans="1:24 16384:16384" ht="15.75" customHeight="1" x14ac:dyDescent="0.2">
      <c r="A109" t="s">
        <v>24</v>
      </c>
      <c r="B109" t="s">
        <v>69</v>
      </c>
      <c r="C109" t="s">
        <v>152</v>
      </c>
      <c r="D109" t="s">
        <v>153</v>
      </c>
      <c r="E109" t="s">
        <v>28</v>
      </c>
      <c r="F109" t="s">
        <v>28</v>
      </c>
      <c r="H109" s="1" t="s">
        <v>698</v>
      </c>
      <c r="I109" s="12" t="s">
        <v>699</v>
      </c>
      <c r="J109" s="3" t="s">
        <v>151</v>
      </c>
      <c r="K109">
        <v>2</v>
      </c>
      <c r="L109">
        <v>2</v>
      </c>
      <c r="M109" s="2">
        <v>45183</v>
      </c>
      <c r="N109" s="2">
        <v>45476</v>
      </c>
      <c r="O109" s="17">
        <v>2</v>
      </c>
      <c r="P109" s="17">
        <v>0</v>
      </c>
      <c r="Q109" s="17">
        <v>0</v>
      </c>
      <c r="R109">
        <v>0</v>
      </c>
      <c r="S109">
        <v>0</v>
      </c>
      <c r="T109">
        <v>1.7000000000000001E-2</v>
      </c>
      <c r="U109">
        <v>1.95</v>
      </c>
      <c r="V109">
        <v>0</v>
      </c>
      <c r="W109">
        <v>0</v>
      </c>
      <c r="X109" s="2">
        <v>46230</v>
      </c>
    </row>
    <row r="110" spans="1:24 16384:16384" ht="15.75" customHeight="1" x14ac:dyDescent="0.2">
      <c r="A110" t="s">
        <v>24</v>
      </c>
      <c r="B110" t="s">
        <v>69</v>
      </c>
      <c r="C110" t="s">
        <v>152</v>
      </c>
      <c r="D110" t="s">
        <v>153</v>
      </c>
      <c r="E110" t="s">
        <v>28</v>
      </c>
      <c r="F110" t="s">
        <v>28</v>
      </c>
      <c r="H110" s="1" t="s">
        <v>700</v>
      </c>
      <c r="I110" s="12" t="s">
        <v>701</v>
      </c>
      <c r="J110" s="3" t="s">
        <v>151</v>
      </c>
      <c r="K110">
        <v>0.86</v>
      </c>
      <c r="L110">
        <v>0.86</v>
      </c>
      <c r="M110" s="2">
        <v>46111</v>
      </c>
      <c r="N110" s="2">
        <v>46287</v>
      </c>
      <c r="O110" s="17">
        <v>0.86</v>
      </c>
      <c r="P110" s="17">
        <v>0.86</v>
      </c>
      <c r="Q110" s="17">
        <v>0.86</v>
      </c>
      <c r="R110">
        <v>0.86</v>
      </c>
      <c r="S110">
        <v>0</v>
      </c>
      <c r="T110">
        <v>0</v>
      </c>
      <c r="U110">
        <v>0</v>
      </c>
      <c r="V110">
        <v>0</v>
      </c>
      <c r="W110">
        <v>0</v>
      </c>
      <c r="X110" s="2">
        <v>46230</v>
      </c>
    </row>
    <row r="111" spans="1:24 16384:16384" ht="15.75" customHeight="1" x14ac:dyDescent="0.2">
      <c r="A111" t="s">
        <v>24</v>
      </c>
      <c r="B111" t="s">
        <v>69</v>
      </c>
      <c r="C111" t="s">
        <v>152</v>
      </c>
      <c r="D111" t="s">
        <v>153</v>
      </c>
      <c r="E111" t="s">
        <v>28</v>
      </c>
      <c r="F111" t="s">
        <v>28</v>
      </c>
      <c r="H111" s="1" t="s">
        <v>702</v>
      </c>
      <c r="I111" s="12" t="s">
        <v>703</v>
      </c>
      <c r="J111" s="3" t="s">
        <v>151</v>
      </c>
      <c r="K111">
        <v>0.67</v>
      </c>
      <c r="L111">
        <v>0.67</v>
      </c>
      <c r="M111" s="2">
        <v>45761</v>
      </c>
      <c r="N111" s="2">
        <v>45877</v>
      </c>
      <c r="O111" s="17">
        <v>0.67</v>
      </c>
      <c r="P111" s="17">
        <v>0.67</v>
      </c>
      <c r="Q111" s="17">
        <v>0.67</v>
      </c>
      <c r="R111">
        <v>0</v>
      </c>
      <c r="S111">
        <v>0.67</v>
      </c>
      <c r="T111">
        <v>0</v>
      </c>
      <c r="U111">
        <v>0</v>
      </c>
      <c r="V111">
        <v>0</v>
      </c>
      <c r="W111">
        <v>0</v>
      </c>
      <c r="X111" s="2">
        <v>46230</v>
      </c>
    </row>
    <row r="112" spans="1:24 16384:16384" ht="15.75" customHeight="1" x14ac:dyDescent="0.2">
      <c r="A112" t="s">
        <v>24</v>
      </c>
      <c r="B112" t="s">
        <v>69</v>
      </c>
      <c r="C112" t="s">
        <v>152</v>
      </c>
      <c r="D112" t="s">
        <v>153</v>
      </c>
      <c r="E112" t="s">
        <v>28</v>
      </c>
      <c r="F112" t="s">
        <v>28</v>
      </c>
      <c r="H112" s="7" t="s">
        <v>704</v>
      </c>
      <c r="I112" s="12" t="s">
        <v>703</v>
      </c>
      <c r="J112" s="3" t="s">
        <v>151</v>
      </c>
      <c r="K112">
        <v>0.61099999999999999</v>
      </c>
      <c r="L112">
        <v>0.61099999999999999</v>
      </c>
      <c r="M112" s="2">
        <v>45880</v>
      </c>
      <c r="N112" s="2">
        <v>46051</v>
      </c>
      <c r="O112" s="17">
        <v>0.61099999999999999</v>
      </c>
      <c r="P112" s="17">
        <v>0.61099999999999999</v>
      </c>
      <c r="Q112" s="17">
        <v>0.61099999999999999</v>
      </c>
      <c r="R112">
        <v>-1.9E-2</v>
      </c>
      <c r="S112">
        <v>0.63</v>
      </c>
      <c r="T112">
        <v>0</v>
      </c>
      <c r="U112">
        <v>0</v>
      </c>
      <c r="V112">
        <v>0</v>
      </c>
      <c r="W112">
        <v>0</v>
      </c>
      <c r="X112" s="2">
        <v>46230</v>
      </c>
    </row>
    <row r="113" spans="1:29" ht="15.75" customHeight="1" x14ac:dyDescent="0.2">
      <c r="A113" t="s">
        <v>24</v>
      </c>
      <c r="B113" t="s">
        <v>69</v>
      </c>
      <c r="C113" t="s">
        <v>152</v>
      </c>
      <c r="D113" t="s">
        <v>153</v>
      </c>
      <c r="E113" t="s">
        <v>28</v>
      </c>
      <c r="F113" t="s">
        <v>28</v>
      </c>
      <c r="H113" s="1" t="s">
        <v>705</v>
      </c>
      <c r="I113" s="12" t="s">
        <v>706</v>
      </c>
      <c r="J113" s="3" t="s">
        <v>151</v>
      </c>
      <c r="K113">
        <v>0.1</v>
      </c>
      <c r="L113">
        <v>0.1</v>
      </c>
      <c r="M113" s="2">
        <v>46087</v>
      </c>
      <c r="N113" s="2">
        <v>46122</v>
      </c>
      <c r="O113" s="17">
        <v>0.1</v>
      </c>
      <c r="P113" s="17">
        <v>0.1</v>
      </c>
      <c r="Q113" s="17">
        <v>0.1</v>
      </c>
      <c r="R113">
        <v>0.1</v>
      </c>
      <c r="S113">
        <v>0</v>
      </c>
      <c r="T113">
        <v>0</v>
      </c>
      <c r="U113">
        <v>0</v>
      </c>
      <c r="V113">
        <v>0</v>
      </c>
      <c r="W113">
        <v>0</v>
      </c>
      <c r="X113" s="2">
        <v>46230</v>
      </c>
    </row>
    <row r="114" spans="1:29" ht="15.75" customHeight="1" x14ac:dyDescent="0.2">
      <c r="A114" t="s">
        <v>24</v>
      </c>
      <c r="B114" t="s">
        <v>69</v>
      </c>
      <c r="C114" t="s">
        <v>152</v>
      </c>
      <c r="D114" t="s">
        <v>153</v>
      </c>
      <c r="E114" t="s">
        <v>28</v>
      </c>
      <c r="F114" t="s">
        <v>28</v>
      </c>
      <c r="H114" s="1" t="s">
        <v>707</v>
      </c>
      <c r="I114" s="12" t="s">
        <v>708</v>
      </c>
      <c r="J114" s="3" t="s">
        <v>151</v>
      </c>
      <c r="K114">
        <v>9.8000000000000004E-2</v>
      </c>
      <c r="L114">
        <v>9.8000000000000004E-2</v>
      </c>
      <c r="M114" s="2">
        <v>46038</v>
      </c>
      <c r="N114" s="2">
        <v>46077</v>
      </c>
      <c r="O114" s="17">
        <v>9.8000000000000004E-2</v>
      </c>
      <c r="P114" s="17">
        <v>9.8000000000000004E-2</v>
      </c>
      <c r="Q114" s="17">
        <v>9.8000000000000004E-2</v>
      </c>
      <c r="R114">
        <v>9.8000000000000004E-2</v>
      </c>
      <c r="S114">
        <v>0</v>
      </c>
      <c r="T114">
        <v>0</v>
      </c>
      <c r="U114">
        <v>0</v>
      </c>
      <c r="V114">
        <v>0</v>
      </c>
      <c r="W114">
        <v>0</v>
      </c>
      <c r="X114" s="2">
        <v>46230</v>
      </c>
    </row>
    <row r="115" spans="1:29" s="24" customFormat="1" ht="15.75" customHeight="1" x14ac:dyDescent="0.2">
      <c r="A115" t="s">
        <v>24</v>
      </c>
      <c r="B115" t="s">
        <v>69</v>
      </c>
      <c r="C115" s="11" t="s">
        <v>691</v>
      </c>
      <c r="D115" s="11" t="s">
        <v>153</v>
      </c>
      <c r="E115" s="11" t="s">
        <v>28</v>
      </c>
      <c r="F115" t="s">
        <v>28</v>
      </c>
      <c r="G115"/>
      <c r="H115" s="7" t="s">
        <v>692</v>
      </c>
      <c r="I115" s="11" t="s">
        <v>693</v>
      </c>
      <c r="J115" s="12" t="s">
        <v>151</v>
      </c>
      <c r="K115" s="11">
        <v>9.8000000000000004E-2</v>
      </c>
      <c r="L115" s="11">
        <v>9.8000000000000004E-2</v>
      </c>
      <c r="M115" s="13">
        <v>46064</v>
      </c>
      <c r="N115" s="13">
        <v>46105</v>
      </c>
      <c r="O115" s="18">
        <v>9.8000000000000004E-2</v>
      </c>
      <c r="P115" s="18">
        <v>9.8000000000000004E-2</v>
      </c>
      <c r="Q115" s="18">
        <v>9.8000000000000004E-2</v>
      </c>
      <c r="R115">
        <v>9.8000000000000004E-2</v>
      </c>
      <c r="S115" s="17">
        <f>Q115-R115</f>
        <v>0</v>
      </c>
      <c r="T115">
        <v>0</v>
      </c>
      <c r="U115">
        <v>0</v>
      </c>
      <c r="V115">
        <v>0</v>
      </c>
      <c r="W115" s="17">
        <f>O115-(R115+S115+T115+U115+V115)</f>
        <v>0</v>
      </c>
      <c r="X115" s="2">
        <v>46230</v>
      </c>
      <c r="Y115" s="7" t="s">
        <v>1021</v>
      </c>
      <c r="Z115"/>
      <c r="AA115"/>
      <c r="AB115"/>
      <c r="AC115"/>
    </row>
    <row r="116" spans="1:29" ht="15.75" customHeight="1" x14ac:dyDescent="0.2">
      <c r="A116" t="s">
        <v>24</v>
      </c>
      <c r="B116" t="s">
        <v>69</v>
      </c>
      <c r="C116" t="s">
        <v>329</v>
      </c>
      <c r="D116" t="s">
        <v>330</v>
      </c>
      <c r="E116" t="s">
        <v>331</v>
      </c>
      <c r="F116" t="s">
        <v>28</v>
      </c>
      <c r="H116" s="1" t="s">
        <v>332</v>
      </c>
      <c r="I116" s="12" t="s">
        <v>333</v>
      </c>
      <c r="J116" s="3" t="s">
        <v>40</v>
      </c>
      <c r="K116">
        <v>0.51100000000000001</v>
      </c>
      <c r="L116">
        <v>0.51100000000000001</v>
      </c>
      <c r="M116" s="2">
        <v>44434</v>
      </c>
      <c r="N116" s="2">
        <v>45317</v>
      </c>
      <c r="O116" s="17">
        <v>0.51100000000000001</v>
      </c>
      <c r="P116" s="17">
        <v>0</v>
      </c>
      <c r="Q116" s="17">
        <v>0</v>
      </c>
      <c r="R116">
        <v>0</v>
      </c>
      <c r="S116">
        <v>0</v>
      </c>
      <c r="T116">
        <v>0</v>
      </c>
      <c r="U116">
        <v>0</v>
      </c>
      <c r="V116">
        <v>0.183</v>
      </c>
      <c r="W116">
        <v>0.32800000000000001</v>
      </c>
      <c r="X116" s="2">
        <v>46230</v>
      </c>
    </row>
    <row r="117" spans="1:29" ht="15.75" customHeight="1" x14ac:dyDescent="0.2">
      <c r="A117" t="s">
        <v>24</v>
      </c>
      <c r="B117" t="s">
        <v>69</v>
      </c>
      <c r="C117" t="s">
        <v>1013</v>
      </c>
      <c r="D117" t="s">
        <v>448</v>
      </c>
      <c r="E117" t="s">
        <v>28</v>
      </c>
      <c r="F117" t="s">
        <v>28</v>
      </c>
      <c r="H117" s="1" t="s">
        <v>1014</v>
      </c>
      <c r="I117" s="12" t="s">
        <v>1015</v>
      </c>
      <c r="J117" s="3" t="s">
        <v>40</v>
      </c>
      <c r="K117">
        <v>0.222</v>
      </c>
      <c r="L117">
        <v>0.222</v>
      </c>
      <c r="M117" s="2">
        <v>44468</v>
      </c>
      <c r="N117" s="2">
        <v>45077</v>
      </c>
      <c r="O117" s="17">
        <v>0.221</v>
      </c>
      <c r="P117" s="17">
        <v>0</v>
      </c>
      <c r="Q117" s="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0.222</v>
      </c>
      <c r="X117" s="2">
        <v>46230</v>
      </c>
    </row>
    <row r="118" spans="1:29" s="26" customFormat="1" ht="15.75" customHeight="1" x14ac:dyDescent="0.2">
      <c r="A118" t="s">
        <v>24</v>
      </c>
      <c r="B118" t="s">
        <v>304</v>
      </c>
      <c r="C118" t="s">
        <v>305</v>
      </c>
      <c r="D118" t="s">
        <v>306</v>
      </c>
      <c r="E118" t="s">
        <v>44</v>
      </c>
      <c r="F118" t="s">
        <v>44</v>
      </c>
      <c r="G118"/>
      <c r="H118" s="7" t="s">
        <v>307</v>
      </c>
      <c r="I118" s="11" t="s">
        <v>308</v>
      </c>
      <c r="J118" s="3" t="s">
        <v>40</v>
      </c>
      <c r="K118">
        <v>0.76</v>
      </c>
      <c r="L118">
        <v>0.76</v>
      </c>
      <c r="M118" s="2">
        <v>46084</v>
      </c>
      <c r="N118"/>
      <c r="O118">
        <v>0.76</v>
      </c>
      <c r="P118">
        <v>0.76</v>
      </c>
      <c r="Q118">
        <v>0.76</v>
      </c>
      <c r="R118">
        <v>0.76</v>
      </c>
      <c r="S118" s="17">
        <f t="shared" ref="S118:S127" si="0">Q118-R118</f>
        <v>0</v>
      </c>
      <c r="T118">
        <v>0</v>
      </c>
      <c r="U118">
        <v>0</v>
      </c>
      <c r="V118">
        <v>0</v>
      </c>
      <c r="W118" s="17">
        <f>O118-(R118+S118+T118+U118+V118)</f>
        <v>0</v>
      </c>
      <c r="X118" s="2">
        <v>46230</v>
      </c>
      <c r="Y118"/>
      <c r="Z118"/>
      <c r="AA118"/>
      <c r="AB118"/>
      <c r="AC118"/>
    </row>
    <row r="119" spans="1:29" ht="17" x14ac:dyDescent="0.2">
      <c r="A119" t="s">
        <v>32</v>
      </c>
      <c r="B119" t="s">
        <v>96</v>
      </c>
      <c r="C119" t="s">
        <v>175</v>
      </c>
      <c r="D119" t="s">
        <v>176</v>
      </c>
      <c r="E119" t="s">
        <v>44</v>
      </c>
      <c r="F119" t="s">
        <v>44</v>
      </c>
      <c r="H119" s="7" t="s">
        <v>177</v>
      </c>
      <c r="I119" s="11" t="s">
        <v>178</v>
      </c>
      <c r="J119" s="3" t="s">
        <v>91</v>
      </c>
      <c r="K119">
        <v>2.2999999999999998</v>
      </c>
      <c r="L119">
        <v>2.2999999999999998</v>
      </c>
      <c r="M119" s="2">
        <v>44442</v>
      </c>
      <c r="N119" s="2">
        <v>45538</v>
      </c>
      <c r="O119">
        <v>2.2999999999999998</v>
      </c>
      <c r="P119" s="17">
        <v>0</v>
      </c>
      <c r="Q119" s="17">
        <v>0</v>
      </c>
      <c r="R119">
        <v>0</v>
      </c>
      <c r="S119" s="17">
        <f t="shared" si="0"/>
        <v>0</v>
      </c>
      <c r="T119">
        <v>0</v>
      </c>
      <c r="U119">
        <v>0.78800000000000003</v>
      </c>
      <c r="V119">
        <v>1</v>
      </c>
      <c r="W119" s="17">
        <v>0.5</v>
      </c>
      <c r="X119" s="2">
        <v>46230</v>
      </c>
    </row>
    <row r="120" spans="1:29" ht="17" x14ac:dyDescent="0.2">
      <c r="A120" t="s">
        <v>32</v>
      </c>
      <c r="B120" t="s">
        <v>96</v>
      </c>
      <c r="C120" t="s">
        <v>175</v>
      </c>
      <c r="D120" t="s">
        <v>176</v>
      </c>
      <c r="E120" t="s">
        <v>44</v>
      </c>
      <c r="F120" t="s">
        <v>44</v>
      </c>
      <c r="H120" s="7" t="s">
        <v>775</v>
      </c>
      <c r="I120" s="11" t="s">
        <v>776</v>
      </c>
      <c r="J120" s="3" t="s">
        <v>91</v>
      </c>
      <c r="K120">
        <v>1.1000000000000001</v>
      </c>
      <c r="L120">
        <v>1.1000000000000001</v>
      </c>
      <c r="M120" s="2">
        <v>45539</v>
      </c>
      <c r="N120" s="2">
        <v>45903</v>
      </c>
      <c r="O120">
        <v>1.1000000000000001</v>
      </c>
      <c r="P120" s="17">
        <v>0</v>
      </c>
      <c r="Q120" s="17">
        <v>0</v>
      </c>
      <c r="R120">
        <v>0</v>
      </c>
      <c r="S120" s="17">
        <f t="shared" si="0"/>
        <v>0</v>
      </c>
      <c r="T120">
        <v>1.103</v>
      </c>
      <c r="U120">
        <v>0</v>
      </c>
      <c r="V120">
        <v>0</v>
      </c>
      <c r="W120" s="17">
        <v>0</v>
      </c>
      <c r="X120" s="2">
        <v>46230</v>
      </c>
    </row>
    <row r="121" spans="1:29" ht="17" x14ac:dyDescent="0.2">
      <c r="A121" t="s">
        <v>32</v>
      </c>
      <c r="B121" t="s">
        <v>96</v>
      </c>
      <c r="C121" t="s">
        <v>175</v>
      </c>
      <c r="D121" t="s">
        <v>176</v>
      </c>
      <c r="E121" t="s">
        <v>28</v>
      </c>
      <c r="F121" t="s">
        <v>28</v>
      </c>
      <c r="H121" s="7" t="s">
        <v>777</v>
      </c>
      <c r="I121" s="11" t="s">
        <v>778</v>
      </c>
      <c r="J121" s="3" t="s">
        <v>91</v>
      </c>
      <c r="K121">
        <v>1.4999999999999999E-2</v>
      </c>
      <c r="L121">
        <v>1.4999999999999999E-2</v>
      </c>
      <c r="M121" s="2">
        <v>45833</v>
      </c>
      <c r="O121" s="17">
        <v>1.4999999999999999E-2</v>
      </c>
      <c r="P121" s="17">
        <v>1.4999999999999999E-2</v>
      </c>
      <c r="Q121" s="17">
        <v>1.4999999999999999E-2</v>
      </c>
      <c r="R121">
        <v>0</v>
      </c>
      <c r="S121" s="17">
        <f t="shared" si="0"/>
        <v>1.4999999999999999E-2</v>
      </c>
      <c r="T121">
        <v>0</v>
      </c>
      <c r="U121">
        <v>0</v>
      </c>
      <c r="V121">
        <v>0</v>
      </c>
      <c r="W121" s="17">
        <f>O121-(R121+S121+T121+U121+V121)</f>
        <v>0</v>
      </c>
      <c r="X121" s="2">
        <v>46230</v>
      </c>
    </row>
    <row r="122" spans="1:29" ht="17" x14ac:dyDescent="0.2">
      <c r="A122" t="s">
        <v>32</v>
      </c>
      <c r="B122" t="s">
        <v>96</v>
      </c>
      <c r="C122" t="s">
        <v>175</v>
      </c>
      <c r="D122" t="s">
        <v>176</v>
      </c>
      <c r="E122" t="s">
        <v>28</v>
      </c>
      <c r="F122" t="s">
        <v>28</v>
      </c>
      <c r="H122" s="7" t="s">
        <v>779</v>
      </c>
      <c r="I122" s="11" t="s">
        <v>780</v>
      </c>
      <c r="J122" s="3" t="s">
        <v>91</v>
      </c>
      <c r="K122">
        <v>0.03</v>
      </c>
      <c r="L122">
        <v>0.03</v>
      </c>
      <c r="M122" s="2">
        <v>45833</v>
      </c>
      <c r="O122" s="17">
        <v>0.03</v>
      </c>
      <c r="P122" s="17">
        <v>0.03</v>
      </c>
      <c r="Q122" s="17">
        <v>0.03</v>
      </c>
      <c r="R122">
        <v>0</v>
      </c>
      <c r="S122" s="17">
        <f t="shared" si="0"/>
        <v>0.03</v>
      </c>
      <c r="T122">
        <v>0</v>
      </c>
      <c r="U122">
        <v>0</v>
      </c>
      <c r="V122">
        <v>0</v>
      </c>
      <c r="W122" s="17">
        <f>O122-(R122+S122+T122+U122+V122)</f>
        <v>0</v>
      </c>
      <c r="X122" s="2">
        <v>46230</v>
      </c>
    </row>
    <row r="123" spans="1:29" ht="17" x14ac:dyDescent="0.2">
      <c r="A123" t="s">
        <v>32</v>
      </c>
      <c r="B123" t="s">
        <v>96</v>
      </c>
      <c r="C123" t="s">
        <v>175</v>
      </c>
      <c r="D123" t="s">
        <v>176</v>
      </c>
      <c r="E123" t="s">
        <v>44</v>
      </c>
      <c r="F123" t="s">
        <v>44</v>
      </c>
      <c r="H123" s="7" t="s">
        <v>781</v>
      </c>
      <c r="I123" s="11" t="s">
        <v>782</v>
      </c>
      <c r="J123" s="3" t="s">
        <v>91</v>
      </c>
      <c r="K123">
        <v>3.8</v>
      </c>
      <c r="L123">
        <v>9.1999999999999993</v>
      </c>
      <c r="M123" s="2">
        <v>45905</v>
      </c>
      <c r="O123" s="17">
        <v>3.8</v>
      </c>
      <c r="P123" s="17">
        <v>3.8</v>
      </c>
      <c r="Q123" s="17">
        <v>3.8</v>
      </c>
      <c r="R123">
        <v>0</v>
      </c>
      <c r="S123" s="17">
        <f t="shared" si="0"/>
        <v>3.8</v>
      </c>
      <c r="T123">
        <v>0</v>
      </c>
      <c r="U123">
        <v>0</v>
      </c>
      <c r="V123">
        <v>0</v>
      </c>
      <c r="W123" s="17">
        <f>O123-(R123+S123+T123+U123+V123)</f>
        <v>0</v>
      </c>
      <c r="X123" s="2">
        <v>46230</v>
      </c>
    </row>
    <row r="124" spans="1:29" ht="17" x14ac:dyDescent="0.2">
      <c r="A124" t="s">
        <v>32</v>
      </c>
      <c r="B124" t="s">
        <v>96</v>
      </c>
      <c r="C124" t="s">
        <v>97</v>
      </c>
      <c r="D124" t="s">
        <v>98</v>
      </c>
      <c r="E124" t="s">
        <v>36</v>
      </c>
      <c r="F124" t="s">
        <v>37</v>
      </c>
      <c r="H124" s="7" t="s">
        <v>99</v>
      </c>
      <c r="I124" s="11" t="s">
        <v>100</v>
      </c>
      <c r="J124" s="3" t="s">
        <v>31</v>
      </c>
      <c r="K124">
        <v>23.9</v>
      </c>
      <c r="L124">
        <v>23.9</v>
      </c>
      <c r="M124" s="2">
        <v>44104</v>
      </c>
      <c r="N124" s="2">
        <v>45198</v>
      </c>
      <c r="O124" s="17">
        <v>15.9</v>
      </c>
      <c r="P124" s="17">
        <v>0</v>
      </c>
      <c r="Q124" s="17">
        <v>0</v>
      </c>
      <c r="R124">
        <v>0</v>
      </c>
      <c r="S124" s="17">
        <f t="shared" si="0"/>
        <v>0</v>
      </c>
      <c r="T124">
        <v>0</v>
      </c>
      <c r="U124">
        <v>0</v>
      </c>
      <c r="V124">
        <v>7.95</v>
      </c>
      <c r="W124" s="17">
        <f>O124-(R124+S124+T124+U124+V124)</f>
        <v>7.95</v>
      </c>
      <c r="X124" s="2">
        <v>46230</v>
      </c>
      <c r="Y124" s="7" t="s">
        <v>1022</v>
      </c>
    </row>
    <row r="125" spans="1:29" ht="17" x14ac:dyDescent="0.2">
      <c r="A125" t="s">
        <v>32</v>
      </c>
      <c r="B125" t="s">
        <v>96</v>
      </c>
      <c r="C125" t="s">
        <v>641</v>
      </c>
      <c r="D125" t="s">
        <v>98</v>
      </c>
      <c r="E125" t="s">
        <v>36</v>
      </c>
      <c r="F125" t="s">
        <v>37</v>
      </c>
      <c r="H125" s="7" t="s">
        <v>642</v>
      </c>
      <c r="I125" s="11" t="s">
        <v>643</v>
      </c>
      <c r="J125" s="3" t="s">
        <v>31</v>
      </c>
      <c r="K125">
        <v>8</v>
      </c>
      <c r="L125">
        <v>8</v>
      </c>
      <c r="M125" s="2">
        <v>45199</v>
      </c>
      <c r="N125" s="2">
        <v>45564</v>
      </c>
      <c r="O125">
        <v>8</v>
      </c>
      <c r="P125" s="17">
        <v>0</v>
      </c>
      <c r="Q125" s="17">
        <v>0</v>
      </c>
      <c r="R125">
        <v>0</v>
      </c>
      <c r="S125" s="17">
        <f t="shared" si="0"/>
        <v>0</v>
      </c>
      <c r="T125">
        <v>0</v>
      </c>
      <c r="U125">
        <v>7.95</v>
      </c>
      <c r="V125">
        <v>0</v>
      </c>
      <c r="W125" s="17">
        <v>0</v>
      </c>
      <c r="X125" s="2">
        <v>46230</v>
      </c>
    </row>
    <row r="126" spans="1:29" ht="17" x14ac:dyDescent="0.2">
      <c r="A126" t="s">
        <v>32</v>
      </c>
      <c r="B126" t="s">
        <v>644</v>
      </c>
      <c r="C126" t="s">
        <v>641</v>
      </c>
      <c r="D126" t="s">
        <v>98</v>
      </c>
      <c r="E126" t="s">
        <v>36</v>
      </c>
      <c r="F126" t="s">
        <v>37</v>
      </c>
      <c r="H126" s="7" t="s">
        <v>645</v>
      </c>
      <c r="I126" s="11" t="s">
        <v>646</v>
      </c>
      <c r="J126" s="3" t="s">
        <v>31</v>
      </c>
      <c r="K126">
        <v>15.9</v>
      </c>
      <c r="L126">
        <v>23.9</v>
      </c>
      <c r="M126" s="2">
        <v>45565</v>
      </c>
      <c r="N126" s="2"/>
      <c r="O126">
        <v>15.9</v>
      </c>
      <c r="P126" s="17">
        <v>7.95</v>
      </c>
      <c r="Q126" s="17">
        <v>7.95</v>
      </c>
      <c r="R126">
        <v>0</v>
      </c>
      <c r="S126" s="17">
        <f t="shared" si="0"/>
        <v>7.95</v>
      </c>
      <c r="T126">
        <v>7.95</v>
      </c>
      <c r="U126">
        <v>0</v>
      </c>
      <c r="V126">
        <v>0</v>
      </c>
      <c r="W126" s="17">
        <f>O126-(R126+S126+T126+U126+V126)</f>
        <v>0</v>
      </c>
      <c r="X126" s="2">
        <v>46230</v>
      </c>
    </row>
    <row r="127" spans="1:29" ht="15.75" customHeight="1" x14ac:dyDescent="0.2">
      <c r="A127" t="s">
        <v>32</v>
      </c>
      <c r="B127" t="s">
        <v>110</v>
      </c>
      <c r="C127" t="s">
        <v>111</v>
      </c>
      <c r="D127" t="s">
        <v>112</v>
      </c>
      <c r="E127" t="s">
        <v>44</v>
      </c>
      <c r="F127" t="s">
        <v>44</v>
      </c>
      <c r="H127" s="7" t="s">
        <v>113</v>
      </c>
      <c r="I127" s="11" t="s">
        <v>114</v>
      </c>
      <c r="J127" s="3" t="s">
        <v>31</v>
      </c>
      <c r="K127">
        <v>4.5999999999999996</v>
      </c>
      <c r="L127">
        <v>4.5999999999999996</v>
      </c>
      <c r="M127" s="2">
        <v>45924</v>
      </c>
      <c r="O127" s="17">
        <v>4.5999999999999996</v>
      </c>
      <c r="P127" s="17">
        <v>4.5999999999999996</v>
      </c>
      <c r="Q127" s="17">
        <v>4.5999999999999996</v>
      </c>
      <c r="R127">
        <v>0</v>
      </c>
      <c r="S127" s="17">
        <f t="shared" si="0"/>
        <v>4.5999999999999996</v>
      </c>
      <c r="T127">
        <v>0</v>
      </c>
      <c r="U127">
        <v>0</v>
      </c>
      <c r="V127">
        <v>0</v>
      </c>
      <c r="W127" s="17">
        <f>O127-(R127+S127+T127+U127+V127)</f>
        <v>0</v>
      </c>
      <c r="X127" s="2">
        <v>46230</v>
      </c>
    </row>
    <row r="128" spans="1:29" ht="15.75" customHeight="1" x14ac:dyDescent="0.2">
      <c r="A128" t="s">
        <v>32</v>
      </c>
      <c r="B128" t="s">
        <v>110</v>
      </c>
      <c r="C128" t="s">
        <v>111</v>
      </c>
      <c r="D128" t="s">
        <v>112</v>
      </c>
      <c r="E128" t="s">
        <v>44</v>
      </c>
      <c r="F128" t="s">
        <v>44</v>
      </c>
      <c r="H128" s="7" t="s">
        <v>853</v>
      </c>
      <c r="I128" s="11" t="s">
        <v>854</v>
      </c>
      <c r="J128" s="3" t="s">
        <v>31</v>
      </c>
      <c r="K128">
        <v>25.1</v>
      </c>
      <c r="L128">
        <v>25.1</v>
      </c>
      <c r="M128" s="2">
        <v>46174</v>
      </c>
      <c r="O128" s="17">
        <v>25.1</v>
      </c>
      <c r="P128" s="17">
        <v>25.1</v>
      </c>
      <c r="Q128" s="17">
        <v>25.1</v>
      </c>
      <c r="R128">
        <v>25.1</v>
      </c>
      <c r="S128">
        <v>0</v>
      </c>
      <c r="T128">
        <v>0</v>
      </c>
      <c r="U128">
        <v>0</v>
      </c>
      <c r="V128">
        <v>0</v>
      </c>
      <c r="W128">
        <v>0</v>
      </c>
      <c r="X128" s="2">
        <v>46230</v>
      </c>
      <c r="Y128" s="7" t="s">
        <v>1023</v>
      </c>
      <c r="Z128" s="7" t="s">
        <v>1024</v>
      </c>
    </row>
    <row r="129" spans="1:27" ht="17" x14ac:dyDescent="0.2">
      <c r="A129" t="s">
        <v>32</v>
      </c>
      <c r="B129" t="s">
        <v>424</v>
      </c>
      <c r="C129" t="s">
        <v>425</v>
      </c>
      <c r="D129" t="s">
        <v>426</v>
      </c>
      <c r="E129" t="s">
        <v>44</v>
      </c>
      <c r="F129" t="s">
        <v>44</v>
      </c>
      <c r="H129" s="7" t="s">
        <v>427</v>
      </c>
      <c r="I129" s="11" t="s">
        <v>428</v>
      </c>
      <c r="J129" s="3" t="s">
        <v>91</v>
      </c>
      <c r="K129">
        <v>3.4000000000000002E-2</v>
      </c>
      <c r="L129">
        <v>3.4000000000000002E-2</v>
      </c>
      <c r="M129" s="2">
        <v>45701</v>
      </c>
      <c r="N129" s="2">
        <v>46087</v>
      </c>
      <c r="O129" s="17">
        <v>3.4000000000000002E-2</v>
      </c>
      <c r="P129" s="17">
        <v>3.4000000000000002E-2</v>
      </c>
      <c r="Q129" s="17">
        <v>3.4000000000000002E-2</v>
      </c>
      <c r="R129">
        <v>3.4000000000000002E-2</v>
      </c>
      <c r="S129" s="17">
        <f>Q129-R129</f>
        <v>0</v>
      </c>
      <c r="T129">
        <v>0</v>
      </c>
      <c r="U129">
        <v>0</v>
      </c>
      <c r="V129">
        <v>0</v>
      </c>
      <c r="W129" s="17">
        <f>O129-(R129+S129+T129+U129+V129)</f>
        <v>0</v>
      </c>
      <c r="X129" s="2">
        <v>46230</v>
      </c>
    </row>
    <row r="130" spans="1:27" ht="17" x14ac:dyDescent="0.2">
      <c r="A130" t="s">
        <v>32</v>
      </c>
      <c r="B130" t="s">
        <v>290</v>
      </c>
      <c r="C130" t="s">
        <v>291</v>
      </c>
      <c r="D130" t="s">
        <v>291</v>
      </c>
      <c r="E130" t="s">
        <v>28</v>
      </c>
      <c r="F130" t="s">
        <v>28</v>
      </c>
      <c r="H130" s="7" t="s">
        <v>292</v>
      </c>
      <c r="I130" s="11" t="s">
        <v>293</v>
      </c>
      <c r="J130" s="3" t="s">
        <v>91</v>
      </c>
      <c r="K130">
        <v>2</v>
      </c>
      <c r="L130">
        <v>2.1</v>
      </c>
      <c r="M130" s="2">
        <v>43800</v>
      </c>
      <c r="N130" s="2">
        <v>45626</v>
      </c>
      <c r="O130" s="17">
        <v>0.89600000000000002</v>
      </c>
      <c r="P130" s="17">
        <v>0</v>
      </c>
      <c r="Q130" s="17">
        <v>0</v>
      </c>
      <c r="R130">
        <v>0</v>
      </c>
      <c r="S130" s="17">
        <f>Q130-R130</f>
        <v>0</v>
      </c>
      <c r="T130">
        <v>0</v>
      </c>
      <c r="U130">
        <v>0.23200000000000001</v>
      </c>
      <c r="V130">
        <v>0.33200000000000002</v>
      </c>
      <c r="W130" s="17">
        <f>O130-(R130+S130+T130+U130+V130)</f>
        <v>0.33199999999999996</v>
      </c>
      <c r="X130" s="2">
        <v>46230</v>
      </c>
      <c r="Y130" s="20" t="s">
        <v>1025</v>
      </c>
    </row>
    <row r="131" spans="1:27" ht="17" x14ac:dyDescent="0.2">
      <c r="A131" t="s">
        <v>32</v>
      </c>
      <c r="B131" t="s">
        <v>290</v>
      </c>
      <c r="C131" t="s">
        <v>291</v>
      </c>
      <c r="D131" t="s">
        <v>291</v>
      </c>
      <c r="E131" t="s">
        <v>28</v>
      </c>
      <c r="F131" t="s">
        <v>28</v>
      </c>
      <c r="H131" s="7" t="s">
        <v>922</v>
      </c>
      <c r="I131" s="11" t="s">
        <v>923</v>
      </c>
      <c r="J131" s="3" t="s">
        <v>91</v>
      </c>
      <c r="K131">
        <v>0.23200000000000001</v>
      </c>
      <c r="L131">
        <v>0.23200000000000001</v>
      </c>
      <c r="M131" s="2">
        <v>45627</v>
      </c>
      <c r="N131" s="2">
        <v>45991</v>
      </c>
      <c r="O131">
        <v>0.23200000000000001</v>
      </c>
      <c r="P131" s="17">
        <v>0</v>
      </c>
      <c r="Q131" s="17">
        <v>0</v>
      </c>
      <c r="R131">
        <v>0</v>
      </c>
      <c r="S131" s="17">
        <f>Q131-R131</f>
        <v>0</v>
      </c>
      <c r="T131">
        <v>0.23200000000000001</v>
      </c>
      <c r="U131">
        <v>0</v>
      </c>
      <c r="V131">
        <v>0</v>
      </c>
      <c r="W131" s="17">
        <f>O131-(R131+S131+T131+U131+V131)</f>
        <v>0</v>
      </c>
      <c r="X131" s="2">
        <v>46230</v>
      </c>
    </row>
    <row r="132" spans="1:27" ht="17" x14ac:dyDescent="0.2">
      <c r="A132" t="s">
        <v>32</v>
      </c>
      <c r="B132" t="s">
        <v>290</v>
      </c>
      <c r="C132" t="s">
        <v>714</v>
      </c>
      <c r="D132" t="s">
        <v>98</v>
      </c>
      <c r="E132" t="s">
        <v>44</v>
      </c>
      <c r="F132" t="s">
        <v>44</v>
      </c>
      <c r="H132" s="7" t="s">
        <v>715</v>
      </c>
      <c r="I132" s="11" t="s">
        <v>716</v>
      </c>
      <c r="J132" s="3" t="s">
        <v>40</v>
      </c>
      <c r="K132">
        <v>0.23499999999999999</v>
      </c>
      <c r="L132">
        <v>0.23499999999999999</v>
      </c>
      <c r="M132" s="2">
        <v>45119</v>
      </c>
      <c r="N132" s="2">
        <v>45291</v>
      </c>
      <c r="O132" s="17">
        <v>0.23499999999999999</v>
      </c>
      <c r="P132" s="17">
        <v>0</v>
      </c>
      <c r="Q132" s="17">
        <v>0</v>
      </c>
      <c r="R132">
        <v>0</v>
      </c>
      <c r="S132">
        <v>0</v>
      </c>
      <c r="T132">
        <v>0</v>
      </c>
      <c r="U132">
        <v>0.23499999999999999</v>
      </c>
      <c r="V132">
        <v>0</v>
      </c>
      <c r="W132">
        <v>0</v>
      </c>
      <c r="X132" s="2">
        <v>46230</v>
      </c>
    </row>
    <row r="133" spans="1:27" ht="17" x14ac:dyDescent="0.2">
      <c r="A133" t="s">
        <v>32</v>
      </c>
      <c r="B133" t="s">
        <v>290</v>
      </c>
      <c r="C133" t="s">
        <v>714</v>
      </c>
      <c r="D133" t="s">
        <v>98</v>
      </c>
      <c r="E133" t="s">
        <v>44</v>
      </c>
      <c r="F133" t="s">
        <v>44</v>
      </c>
      <c r="H133" s="7" t="s">
        <v>717</v>
      </c>
      <c r="I133" s="11" t="s">
        <v>718</v>
      </c>
      <c r="J133" s="3" t="s">
        <v>40</v>
      </c>
      <c r="K133">
        <v>0.44700000000000001</v>
      </c>
      <c r="L133">
        <v>0.44700000000000001</v>
      </c>
      <c r="M133" s="2">
        <v>45804</v>
      </c>
      <c r="N133" s="2">
        <v>45894</v>
      </c>
      <c r="O133" s="17">
        <v>0.44700000000000001</v>
      </c>
      <c r="P133" s="17">
        <v>0.44700000000000001</v>
      </c>
      <c r="Q133" s="17">
        <v>0.44700000000000001</v>
      </c>
      <c r="R133">
        <v>0</v>
      </c>
      <c r="S133">
        <v>0.44700000000000001</v>
      </c>
      <c r="T133">
        <v>0</v>
      </c>
      <c r="U133">
        <v>0</v>
      </c>
      <c r="V133">
        <v>0</v>
      </c>
      <c r="W133">
        <v>0</v>
      </c>
      <c r="X133" s="2">
        <v>46230</v>
      </c>
      <c r="Y133" s="7" t="s">
        <v>1026</v>
      </c>
    </row>
    <row r="134" spans="1:27" ht="15.75" customHeight="1" x14ac:dyDescent="0.2">
      <c r="A134" t="s">
        <v>32</v>
      </c>
      <c r="B134" t="s">
        <v>182</v>
      </c>
      <c r="C134" t="s">
        <v>183</v>
      </c>
      <c r="D134" t="s">
        <v>183</v>
      </c>
      <c r="E134" t="s">
        <v>36</v>
      </c>
      <c r="F134" t="s">
        <v>107</v>
      </c>
      <c r="H134" s="7" t="s">
        <v>184</v>
      </c>
      <c r="I134" s="11" t="s">
        <v>185</v>
      </c>
      <c r="J134" s="3" t="s">
        <v>31</v>
      </c>
      <c r="K134">
        <v>3.4</v>
      </c>
      <c r="L134">
        <v>3.4</v>
      </c>
      <c r="M134" s="2">
        <v>43005</v>
      </c>
      <c r="N134" s="2">
        <v>44466</v>
      </c>
      <c r="O134" s="17">
        <v>-2.4E-2</v>
      </c>
      <c r="P134" s="17">
        <v>0</v>
      </c>
      <c r="Q134" s="17">
        <v>0</v>
      </c>
      <c r="R134">
        <v>0</v>
      </c>
      <c r="S134" s="17">
        <f t="shared" ref="S134:S139" si="1">Q134-R134</f>
        <v>0</v>
      </c>
      <c r="T134">
        <v>0</v>
      </c>
      <c r="U134">
        <v>0</v>
      </c>
      <c r="V134">
        <v>-2.5000000000000001E-2</v>
      </c>
      <c r="W134" s="17">
        <v>0</v>
      </c>
      <c r="X134" s="2">
        <v>46230</v>
      </c>
      <c r="Y134" t="s">
        <v>1027</v>
      </c>
    </row>
    <row r="135" spans="1:27" ht="15.75" customHeight="1" x14ac:dyDescent="0.2">
      <c r="A135" t="s">
        <v>32</v>
      </c>
      <c r="B135" t="s">
        <v>182</v>
      </c>
      <c r="C135" t="s">
        <v>183</v>
      </c>
      <c r="D135" t="s">
        <v>183</v>
      </c>
      <c r="E135" t="s">
        <v>36</v>
      </c>
      <c r="F135" t="s">
        <v>107</v>
      </c>
      <c r="H135" s="7" t="s">
        <v>536</v>
      </c>
      <c r="I135" s="11" t="s">
        <v>537</v>
      </c>
      <c r="J135" s="3" t="s">
        <v>31</v>
      </c>
      <c r="K135">
        <v>0.26700000000000002</v>
      </c>
      <c r="L135">
        <v>0.28699999999999998</v>
      </c>
      <c r="M135" s="2">
        <v>44090</v>
      </c>
      <c r="N135" s="2">
        <v>45032</v>
      </c>
      <c r="O135" s="17">
        <v>-0.70699999999999996</v>
      </c>
      <c r="P135" s="17">
        <v>0</v>
      </c>
      <c r="Q135" s="17">
        <v>0</v>
      </c>
      <c r="R135">
        <v>0</v>
      </c>
      <c r="S135" s="17">
        <f t="shared" si="1"/>
        <v>0</v>
      </c>
      <c r="T135">
        <v>0</v>
      </c>
      <c r="U135">
        <v>0</v>
      </c>
      <c r="V135">
        <v>0</v>
      </c>
      <c r="W135" s="17">
        <f>O135-(R135+S135+T135+U135+V135)</f>
        <v>-0.70699999999999996</v>
      </c>
      <c r="X135" s="2">
        <v>46230</v>
      </c>
      <c r="Y135" t="s">
        <v>1027</v>
      </c>
    </row>
    <row r="136" spans="1:27" ht="17" x14ac:dyDescent="0.2">
      <c r="A136" t="s">
        <v>32</v>
      </c>
      <c r="B136" t="s">
        <v>182</v>
      </c>
      <c r="C136" t="s">
        <v>183</v>
      </c>
      <c r="D136" t="s">
        <v>183</v>
      </c>
      <c r="E136" t="s">
        <v>44</v>
      </c>
      <c r="F136" t="s">
        <v>44</v>
      </c>
      <c r="H136" s="7" t="s">
        <v>538</v>
      </c>
      <c r="I136" s="11" t="s">
        <v>539</v>
      </c>
      <c r="J136" s="3" t="s">
        <v>228</v>
      </c>
      <c r="K136">
        <v>6.2</v>
      </c>
      <c r="L136">
        <v>24.998000000000001</v>
      </c>
      <c r="M136" s="2">
        <v>45792</v>
      </c>
      <c r="N136" s="2"/>
      <c r="O136" s="17">
        <v>6.2</v>
      </c>
      <c r="P136" s="17">
        <v>6.2</v>
      </c>
      <c r="Q136" s="17">
        <v>6.2</v>
      </c>
      <c r="R136">
        <v>0</v>
      </c>
      <c r="S136" s="17">
        <f t="shared" si="1"/>
        <v>6.2</v>
      </c>
      <c r="T136">
        <v>0</v>
      </c>
      <c r="U136">
        <v>0</v>
      </c>
      <c r="V136">
        <v>0</v>
      </c>
      <c r="W136" s="17">
        <f>O136-(R136+S136+T136+U136+V136)</f>
        <v>0</v>
      </c>
      <c r="X136" s="2">
        <v>46230</v>
      </c>
      <c r="Y136" t="s">
        <v>1027</v>
      </c>
    </row>
    <row r="137" spans="1:27" ht="17" x14ac:dyDescent="0.2">
      <c r="A137" t="s">
        <v>32</v>
      </c>
      <c r="B137" t="s">
        <v>281</v>
      </c>
      <c r="C137" t="s">
        <v>391</v>
      </c>
      <c r="D137" t="s">
        <v>392</v>
      </c>
      <c r="E137" t="s">
        <v>36</v>
      </c>
      <c r="F137" t="s">
        <v>107</v>
      </c>
      <c r="H137" s="7" t="s">
        <v>393</v>
      </c>
      <c r="I137" s="11" t="s">
        <v>394</v>
      </c>
      <c r="J137" s="3" t="s">
        <v>31</v>
      </c>
      <c r="K137">
        <v>0.17399999999999999</v>
      </c>
      <c r="L137">
        <v>0.17399999999999999</v>
      </c>
      <c r="M137" s="2">
        <v>45784</v>
      </c>
      <c r="N137" s="2">
        <v>45936</v>
      </c>
      <c r="O137" s="17">
        <v>0.17399999999999999</v>
      </c>
      <c r="P137" s="17">
        <v>0.17399999999999999</v>
      </c>
      <c r="Q137" s="17">
        <v>0.17399999999999999</v>
      </c>
      <c r="R137">
        <v>0</v>
      </c>
      <c r="S137" s="17">
        <f t="shared" si="1"/>
        <v>0.17399999999999999</v>
      </c>
      <c r="T137">
        <v>0</v>
      </c>
      <c r="U137">
        <v>0</v>
      </c>
      <c r="V137">
        <v>0</v>
      </c>
      <c r="W137" s="17">
        <f>O137-(R137+S137+T137+U137+V137)</f>
        <v>0</v>
      </c>
      <c r="X137" s="2">
        <v>46230</v>
      </c>
    </row>
    <row r="138" spans="1:27" ht="17" x14ac:dyDescent="0.2">
      <c r="A138" t="s">
        <v>32</v>
      </c>
      <c r="B138" t="s">
        <v>281</v>
      </c>
      <c r="C138" t="s">
        <v>395</v>
      </c>
      <c r="D138" t="s">
        <v>395</v>
      </c>
      <c r="E138" t="s">
        <v>36</v>
      </c>
      <c r="F138" t="s">
        <v>107</v>
      </c>
      <c r="H138" s="7" t="s">
        <v>396</v>
      </c>
      <c r="I138" s="11" t="s">
        <v>394</v>
      </c>
      <c r="J138" s="3" t="s">
        <v>31</v>
      </c>
      <c r="K138">
        <v>0.16700000000000001</v>
      </c>
      <c r="L138">
        <v>0.16700000000000001</v>
      </c>
      <c r="M138" s="2">
        <v>45784</v>
      </c>
      <c r="N138" s="2">
        <v>45936</v>
      </c>
      <c r="O138" s="17">
        <v>0.16700000000000001</v>
      </c>
      <c r="P138" s="17">
        <v>0.16700000000000001</v>
      </c>
      <c r="Q138" s="17">
        <v>0.16700000000000001</v>
      </c>
      <c r="R138">
        <v>0</v>
      </c>
      <c r="S138" s="17">
        <f t="shared" si="1"/>
        <v>0.16700000000000001</v>
      </c>
      <c r="T138">
        <v>0</v>
      </c>
      <c r="U138">
        <v>0</v>
      </c>
      <c r="V138">
        <v>0</v>
      </c>
      <c r="W138" s="17">
        <f>O138-(R138+S138+T138+U138+V138)</f>
        <v>0</v>
      </c>
      <c r="X138" s="2">
        <v>46230</v>
      </c>
    </row>
    <row r="139" spans="1:27" ht="17" x14ac:dyDescent="0.2">
      <c r="A139" t="s">
        <v>32</v>
      </c>
      <c r="B139" t="s">
        <v>281</v>
      </c>
      <c r="C139" s="11" t="s">
        <v>387</v>
      </c>
      <c r="D139" s="11" t="s">
        <v>388</v>
      </c>
      <c r="E139" s="11" t="s">
        <v>36</v>
      </c>
      <c r="F139" s="11" t="s">
        <v>107</v>
      </c>
      <c r="G139" s="11"/>
      <c r="H139" s="23" t="s">
        <v>389</v>
      </c>
      <c r="I139" s="11" t="s">
        <v>390</v>
      </c>
      <c r="J139" s="12" t="s">
        <v>31</v>
      </c>
      <c r="K139" s="11">
        <v>0.17499999999999999</v>
      </c>
      <c r="L139" s="11">
        <v>0.17499999999999999</v>
      </c>
      <c r="M139" s="13">
        <v>45784</v>
      </c>
      <c r="N139" s="13">
        <v>45936</v>
      </c>
      <c r="O139" s="18">
        <v>0.17499999999999999</v>
      </c>
      <c r="P139" s="18">
        <v>0.17499999999999999</v>
      </c>
      <c r="Q139" s="18">
        <v>0.17499999999999999</v>
      </c>
      <c r="R139">
        <v>0</v>
      </c>
      <c r="S139" s="17">
        <f t="shared" si="1"/>
        <v>0.17499999999999999</v>
      </c>
      <c r="T139">
        <v>0</v>
      </c>
      <c r="U139">
        <v>0</v>
      </c>
      <c r="V139">
        <v>0</v>
      </c>
      <c r="W139" s="17">
        <f>O139-(R139+S139+T139+U139+V139)</f>
        <v>0</v>
      </c>
      <c r="X139" s="2">
        <v>46230</v>
      </c>
      <c r="Y139" s="7" t="s">
        <v>1028</v>
      </c>
    </row>
    <row r="140" spans="1:27" ht="17" x14ac:dyDescent="0.2">
      <c r="A140" t="s">
        <v>32</v>
      </c>
      <c r="B140" t="s">
        <v>281</v>
      </c>
      <c r="C140" t="s">
        <v>97</v>
      </c>
      <c r="D140" t="s">
        <v>98</v>
      </c>
      <c r="E140" s="3" t="s">
        <v>78</v>
      </c>
      <c r="F140" s="3" t="s">
        <v>78</v>
      </c>
      <c r="G140" s="3"/>
      <c r="H140" s="7" t="s">
        <v>647</v>
      </c>
      <c r="I140" s="11" t="s">
        <v>648</v>
      </c>
      <c r="J140" s="3" t="s">
        <v>228</v>
      </c>
      <c r="K140">
        <v>1.7</v>
      </c>
      <c r="L140">
        <v>6.6210000000000004</v>
      </c>
      <c r="M140" s="2">
        <v>44361</v>
      </c>
      <c r="N140" s="2">
        <v>45473</v>
      </c>
      <c r="O140" s="17">
        <v>1.7</v>
      </c>
      <c r="P140" s="17">
        <v>0.19900000000000001</v>
      </c>
      <c r="Q140" s="17">
        <v>0.19900000000000001</v>
      </c>
      <c r="R140">
        <v>0</v>
      </c>
      <c r="S140" s="17">
        <v>0.19900000000000001</v>
      </c>
      <c r="T140">
        <v>0.38700000000000001</v>
      </c>
      <c r="U140">
        <v>0.375</v>
      </c>
      <c r="V140">
        <v>0.39600000000000002</v>
      </c>
      <c r="W140" s="17">
        <v>0.38500000000000001</v>
      </c>
      <c r="X140" s="2">
        <v>46230</v>
      </c>
      <c r="AA140" s="17"/>
    </row>
    <row r="141" spans="1:27" ht="34" x14ac:dyDescent="0.2">
      <c r="A141" t="s">
        <v>32</v>
      </c>
      <c r="B141" t="s">
        <v>281</v>
      </c>
      <c r="C141" t="s">
        <v>282</v>
      </c>
      <c r="D141" t="s">
        <v>283</v>
      </c>
      <c r="E141" t="s">
        <v>44</v>
      </c>
      <c r="F141" t="s">
        <v>44</v>
      </c>
      <c r="H141" s="7" t="s">
        <v>284</v>
      </c>
      <c r="I141" s="12" t="s">
        <v>285</v>
      </c>
      <c r="J141" s="3" t="s">
        <v>91</v>
      </c>
      <c r="K141">
        <v>8.6999999999999994E-2</v>
      </c>
      <c r="L141">
        <v>8.6999999999999994E-2</v>
      </c>
      <c r="M141" s="2">
        <v>44788</v>
      </c>
      <c r="N141" s="2">
        <v>45152</v>
      </c>
      <c r="O141" s="17">
        <v>8.6999999999999994E-2</v>
      </c>
      <c r="P141" s="17">
        <v>0</v>
      </c>
      <c r="Q141" s="17">
        <v>0</v>
      </c>
      <c r="R141">
        <v>0</v>
      </c>
      <c r="S141">
        <v>0</v>
      </c>
      <c r="T141">
        <v>0</v>
      </c>
      <c r="U141">
        <v>0</v>
      </c>
      <c r="V141">
        <v>8.6999999999999994E-2</v>
      </c>
      <c r="W141">
        <v>0</v>
      </c>
      <c r="X141" s="2">
        <v>46230</v>
      </c>
    </row>
    <row r="142" spans="1:27" ht="17" x14ac:dyDescent="0.2">
      <c r="A142" t="s">
        <v>32</v>
      </c>
      <c r="B142" t="s">
        <v>281</v>
      </c>
      <c r="C142" t="s">
        <v>1029</v>
      </c>
      <c r="D142" t="s">
        <v>283</v>
      </c>
      <c r="E142" t="s">
        <v>44</v>
      </c>
      <c r="F142" t="s">
        <v>44</v>
      </c>
      <c r="H142" s="7" t="s">
        <v>681</v>
      </c>
      <c r="I142" s="11" t="s">
        <v>682</v>
      </c>
      <c r="J142" s="3" t="s">
        <v>91</v>
      </c>
      <c r="K142">
        <v>0.126</v>
      </c>
      <c r="L142">
        <v>0.126</v>
      </c>
      <c r="M142" s="2">
        <v>45017</v>
      </c>
      <c r="N142" s="2">
        <v>45382</v>
      </c>
      <c r="O142">
        <v>0.126</v>
      </c>
      <c r="P142" s="17">
        <v>0</v>
      </c>
      <c r="Q142" s="17">
        <v>0</v>
      </c>
      <c r="R142">
        <v>0</v>
      </c>
      <c r="S142" s="17">
        <f t="shared" ref="S142:S156" si="2">Q142-R142</f>
        <v>0</v>
      </c>
      <c r="T142">
        <v>0</v>
      </c>
      <c r="U142">
        <v>0.126</v>
      </c>
      <c r="V142">
        <v>0</v>
      </c>
      <c r="W142" s="17">
        <f>O142-(R142+S142+T142+U142+V142)</f>
        <v>0</v>
      </c>
      <c r="X142" s="2">
        <v>46230</v>
      </c>
    </row>
    <row r="143" spans="1:27" ht="17" x14ac:dyDescent="0.2">
      <c r="A143" t="s">
        <v>32</v>
      </c>
      <c r="B143" t="s">
        <v>281</v>
      </c>
      <c r="C143" t="s">
        <v>1029</v>
      </c>
      <c r="D143" t="s">
        <v>283</v>
      </c>
      <c r="E143" t="s">
        <v>44</v>
      </c>
      <c r="F143" t="s">
        <v>44</v>
      </c>
      <c r="H143" s="7" t="s">
        <v>683</v>
      </c>
      <c r="I143" s="11" t="s">
        <v>285</v>
      </c>
      <c r="J143" s="3" t="s">
        <v>91</v>
      </c>
      <c r="K143">
        <v>0.15</v>
      </c>
      <c r="L143">
        <v>0.15</v>
      </c>
      <c r="M143" s="2">
        <v>45171</v>
      </c>
      <c r="N143" s="2">
        <v>45536</v>
      </c>
      <c r="O143">
        <v>0.15</v>
      </c>
      <c r="P143" s="17">
        <v>0</v>
      </c>
      <c r="Q143" s="17">
        <v>0</v>
      </c>
      <c r="R143">
        <v>0</v>
      </c>
      <c r="S143" s="17">
        <f t="shared" si="2"/>
        <v>0</v>
      </c>
      <c r="T143">
        <v>0</v>
      </c>
      <c r="U143">
        <v>0.15</v>
      </c>
      <c r="V143">
        <v>0</v>
      </c>
      <c r="W143" s="17">
        <f>O143-(R143+S143+T143+U143+V143)</f>
        <v>0</v>
      </c>
      <c r="X143" s="2">
        <v>46230</v>
      </c>
    </row>
    <row r="144" spans="1:27" ht="17" x14ac:dyDescent="0.2">
      <c r="A144" t="s">
        <v>32</v>
      </c>
      <c r="B144" t="s">
        <v>281</v>
      </c>
      <c r="C144" t="s">
        <v>1029</v>
      </c>
      <c r="D144" t="s">
        <v>283</v>
      </c>
      <c r="E144" t="s">
        <v>44</v>
      </c>
      <c r="F144" t="s">
        <v>44</v>
      </c>
      <c r="H144" s="7" t="s">
        <v>684</v>
      </c>
      <c r="I144" s="11" t="s">
        <v>577</v>
      </c>
      <c r="J144" s="3" t="s">
        <v>91</v>
      </c>
      <c r="K144">
        <v>0.25</v>
      </c>
      <c r="L144">
        <v>0.25</v>
      </c>
      <c r="M144" s="2">
        <v>45173</v>
      </c>
      <c r="N144" s="2">
        <v>45538</v>
      </c>
      <c r="O144">
        <v>0.25</v>
      </c>
      <c r="P144" s="17">
        <v>0</v>
      </c>
      <c r="Q144" s="17">
        <v>0</v>
      </c>
      <c r="R144">
        <v>0</v>
      </c>
      <c r="S144" s="17">
        <f t="shared" si="2"/>
        <v>0</v>
      </c>
      <c r="T144">
        <v>0</v>
      </c>
      <c r="U144">
        <v>0.25</v>
      </c>
      <c r="V144">
        <v>0</v>
      </c>
      <c r="W144" s="17">
        <v>0</v>
      </c>
      <c r="X144" s="2">
        <v>46230</v>
      </c>
      <c r="Y144" s="7" t="s">
        <v>1030</v>
      </c>
    </row>
    <row r="145" spans="1:25" ht="17" x14ac:dyDescent="0.2">
      <c r="A145" t="s">
        <v>32</v>
      </c>
      <c r="B145" t="s">
        <v>281</v>
      </c>
      <c r="C145" t="s">
        <v>283</v>
      </c>
      <c r="D145" t="s">
        <v>283</v>
      </c>
      <c r="E145" t="s">
        <v>44</v>
      </c>
      <c r="F145" t="s">
        <v>44</v>
      </c>
      <c r="H145" s="7" t="s">
        <v>573</v>
      </c>
      <c r="I145" s="11" t="s">
        <v>574</v>
      </c>
      <c r="J145" s="3" t="s">
        <v>91</v>
      </c>
      <c r="K145">
        <v>9.4E-2</v>
      </c>
      <c r="L145">
        <v>9.4E-2</v>
      </c>
      <c r="M145" s="2">
        <v>45901</v>
      </c>
      <c r="N145" s="2">
        <v>46053</v>
      </c>
      <c r="O145">
        <v>9.4E-2</v>
      </c>
      <c r="P145">
        <v>9.4E-2</v>
      </c>
      <c r="Q145">
        <v>9.4E-2</v>
      </c>
      <c r="R145">
        <v>0</v>
      </c>
      <c r="S145" s="17">
        <f t="shared" si="2"/>
        <v>9.4E-2</v>
      </c>
      <c r="T145">
        <v>0</v>
      </c>
      <c r="U145">
        <v>0</v>
      </c>
      <c r="V145">
        <v>0</v>
      </c>
      <c r="W145" s="17">
        <f t="shared" ref="W145:W151" si="3">O145-(R145+S145+T145+U145+V145)</f>
        <v>0</v>
      </c>
      <c r="X145" s="2">
        <v>46230</v>
      </c>
    </row>
    <row r="146" spans="1:25" ht="17" x14ac:dyDescent="0.2">
      <c r="A146" t="s">
        <v>32</v>
      </c>
      <c r="B146" t="s">
        <v>281</v>
      </c>
      <c r="C146" t="s">
        <v>283</v>
      </c>
      <c r="D146" t="s">
        <v>283</v>
      </c>
      <c r="E146" t="s">
        <v>44</v>
      </c>
      <c r="F146" t="s">
        <v>44</v>
      </c>
      <c r="H146" s="7" t="s">
        <v>575</v>
      </c>
      <c r="I146" s="11" t="s">
        <v>574</v>
      </c>
      <c r="J146" s="3" t="s">
        <v>91</v>
      </c>
      <c r="K146">
        <v>8.2000000000000003E-2</v>
      </c>
      <c r="L146">
        <v>8.2000000000000003E-2</v>
      </c>
      <c r="M146" s="2">
        <v>45896</v>
      </c>
      <c r="N146" s="2"/>
      <c r="O146">
        <v>8.2000000000000003E-2</v>
      </c>
      <c r="P146">
        <v>8.2000000000000003E-2</v>
      </c>
      <c r="Q146">
        <v>8.2000000000000003E-2</v>
      </c>
      <c r="R146">
        <v>0</v>
      </c>
      <c r="S146" s="17">
        <f t="shared" si="2"/>
        <v>8.2000000000000003E-2</v>
      </c>
      <c r="T146">
        <v>0</v>
      </c>
      <c r="U146">
        <v>0</v>
      </c>
      <c r="V146">
        <v>0</v>
      </c>
      <c r="W146" s="17">
        <f t="shared" si="3"/>
        <v>0</v>
      </c>
      <c r="X146" s="2">
        <v>46230</v>
      </c>
    </row>
    <row r="147" spans="1:25" ht="17" x14ac:dyDescent="0.2">
      <c r="A147" t="s">
        <v>32</v>
      </c>
      <c r="B147" t="s">
        <v>281</v>
      </c>
      <c r="C147" t="s">
        <v>283</v>
      </c>
      <c r="D147" t="s">
        <v>283</v>
      </c>
      <c r="E147" t="s">
        <v>44</v>
      </c>
      <c r="F147" t="s">
        <v>44</v>
      </c>
      <c r="H147" s="7" t="s">
        <v>576</v>
      </c>
      <c r="I147" s="11" t="s">
        <v>577</v>
      </c>
      <c r="J147" s="3" t="s">
        <v>91</v>
      </c>
      <c r="K147">
        <v>8.6999999999999994E-2</v>
      </c>
      <c r="L147">
        <v>8.6999999999999994E-2</v>
      </c>
      <c r="M147" s="2">
        <v>45728</v>
      </c>
      <c r="N147" s="2"/>
      <c r="O147">
        <v>8.6999999999999994E-2</v>
      </c>
      <c r="P147">
        <v>8.6999999999999994E-2</v>
      </c>
      <c r="Q147">
        <v>8.6999999999999994E-2</v>
      </c>
      <c r="R147">
        <v>0</v>
      </c>
      <c r="S147" s="17">
        <f t="shared" si="2"/>
        <v>8.6999999999999994E-2</v>
      </c>
      <c r="T147">
        <v>0</v>
      </c>
      <c r="U147">
        <v>0</v>
      </c>
      <c r="V147">
        <v>0</v>
      </c>
      <c r="W147" s="17">
        <f t="shared" si="3"/>
        <v>0</v>
      </c>
      <c r="X147" s="2">
        <v>46230</v>
      </c>
    </row>
    <row r="148" spans="1:25" ht="17" x14ac:dyDescent="0.2">
      <c r="A148" t="s">
        <v>32</v>
      </c>
      <c r="B148" t="s">
        <v>281</v>
      </c>
      <c r="C148" t="s">
        <v>283</v>
      </c>
      <c r="D148" t="s">
        <v>283</v>
      </c>
      <c r="E148" t="s">
        <v>44</v>
      </c>
      <c r="F148" t="s">
        <v>44</v>
      </c>
      <c r="H148" s="7" t="s">
        <v>578</v>
      </c>
      <c r="I148" s="11" t="s">
        <v>574</v>
      </c>
      <c r="J148" s="3" t="s">
        <v>91</v>
      </c>
      <c r="K148">
        <v>9.4E-2</v>
      </c>
      <c r="L148">
        <v>9.4E-2</v>
      </c>
      <c r="M148" s="2">
        <v>45905</v>
      </c>
      <c r="N148" s="2"/>
      <c r="O148">
        <v>9.4E-2</v>
      </c>
      <c r="P148">
        <v>9.4E-2</v>
      </c>
      <c r="Q148">
        <v>9.4E-2</v>
      </c>
      <c r="R148">
        <v>0</v>
      </c>
      <c r="S148" s="17">
        <f t="shared" si="2"/>
        <v>9.4E-2</v>
      </c>
      <c r="T148">
        <v>0</v>
      </c>
      <c r="U148">
        <v>0</v>
      </c>
      <c r="V148">
        <v>0</v>
      </c>
      <c r="W148" s="17">
        <f t="shared" si="3"/>
        <v>0</v>
      </c>
      <c r="X148" s="2">
        <v>46230</v>
      </c>
    </row>
    <row r="149" spans="1:25" ht="15.75" customHeight="1" x14ac:dyDescent="0.2">
      <c r="A149" t="s">
        <v>32</v>
      </c>
      <c r="B149" t="s">
        <v>281</v>
      </c>
      <c r="C149" t="s">
        <v>283</v>
      </c>
      <c r="D149" t="s">
        <v>283</v>
      </c>
      <c r="E149" t="s">
        <v>44</v>
      </c>
      <c r="F149" t="s">
        <v>44</v>
      </c>
      <c r="H149" s="7" t="s">
        <v>579</v>
      </c>
      <c r="I149" s="11" t="s">
        <v>577</v>
      </c>
      <c r="J149" s="3" t="s">
        <v>91</v>
      </c>
      <c r="K149">
        <v>0.11899999999999999</v>
      </c>
      <c r="L149">
        <v>0.11899999999999999</v>
      </c>
      <c r="M149" s="2">
        <v>45772</v>
      </c>
      <c r="N149" s="2"/>
      <c r="O149">
        <v>0.11899999999999999</v>
      </c>
      <c r="P149">
        <v>0.11899999999999999</v>
      </c>
      <c r="Q149">
        <v>0.11899999999999999</v>
      </c>
      <c r="R149">
        <v>0</v>
      </c>
      <c r="S149" s="17">
        <f t="shared" si="2"/>
        <v>0.11899999999999999</v>
      </c>
      <c r="T149">
        <v>0</v>
      </c>
      <c r="U149">
        <v>0</v>
      </c>
      <c r="V149">
        <v>0</v>
      </c>
      <c r="W149" s="17">
        <f t="shared" si="3"/>
        <v>0</v>
      </c>
      <c r="X149" s="2">
        <v>46230</v>
      </c>
    </row>
    <row r="150" spans="1:25" ht="15.75" customHeight="1" x14ac:dyDescent="0.2">
      <c r="A150" t="s">
        <v>32</v>
      </c>
      <c r="B150" t="s">
        <v>281</v>
      </c>
      <c r="C150" t="s">
        <v>283</v>
      </c>
      <c r="D150" t="s">
        <v>283</v>
      </c>
      <c r="E150" t="s">
        <v>44</v>
      </c>
      <c r="F150" t="s">
        <v>44</v>
      </c>
      <c r="H150" s="7" t="s">
        <v>580</v>
      </c>
      <c r="I150" s="11" t="s">
        <v>574</v>
      </c>
      <c r="J150" s="3" t="s">
        <v>91</v>
      </c>
      <c r="K150">
        <v>8.2000000000000003E-2</v>
      </c>
      <c r="L150">
        <v>8.2000000000000003E-2</v>
      </c>
      <c r="M150" s="2">
        <v>45897</v>
      </c>
      <c r="N150" s="2"/>
      <c r="O150">
        <v>8.2000000000000003E-2</v>
      </c>
      <c r="P150">
        <v>8.2000000000000003E-2</v>
      </c>
      <c r="Q150">
        <v>8.2000000000000003E-2</v>
      </c>
      <c r="R150">
        <v>0</v>
      </c>
      <c r="S150" s="17">
        <f t="shared" si="2"/>
        <v>8.2000000000000003E-2</v>
      </c>
      <c r="T150">
        <v>0</v>
      </c>
      <c r="U150">
        <v>0</v>
      </c>
      <c r="V150">
        <v>0</v>
      </c>
      <c r="W150" s="17">
        <f t="shared" si="3"/>
        <v>0</v>
      </c>
      <c r="X150" s="2">
        <v>46230</v>
      </c>
    </row>
    <row r="151" spans="1:25" ht="15.75" customHeight="1" x14ac:dyDescent="0.2">
      <c r="A151" t="s">
        <v>32</v>
      </c>
      <c r="B151" t="s">
        <v>281</v>
      </c>
      <c r="C151" t="s">
        <v>166</v>
      </c>
      <c r="D151" t="s">
        <v>448</v>
      </c>
      <c r="E151" t="s">
        <v>28</v>
      </c>
      <c r="F151" t="s">
        <v>28</v>
      </c>
      <c r="H151" s="7" t="s">
        <v>603</v>
      </c>
      <c r="I151" s="11" t="s">
        <v>604</v>
      </c>
      <c r="J151" s="3" t="s">
        <v>40</v>
      </c>
      <c r="K151">
        <v>0.85099999999999998</v>
      </c>
      <c r="L151">
        <v>0.85099999999999998</v>
      </c>
      <c r="M151" s="2">
        <v>44827</v>
      </c>
      <c r="N151" s="2">
        <v>45008</v>
      </c>
      <c r="O151">
        <v>0.85099999999999998</v>
      </c>
      <c r="P151" s="17">
        <v>0</v>
      </c>
      <c r="Q151" s="17">
        <v>0</v>
      </c>
      <c r="R151">
        <v>0</v>
      </c>
      <c r="S151" s="17">
        <f t="shared" si="2"/>
        <v>0</v>
      </c>
      <c r="T151">
        <v>0</v>
      </c>
      <c r="U151">
        <v>0</v>
      </c>
      <c r="V151">
        <v>0.85099999999999998</v>
      </c>
      <c r="W151" s="17">
        <f t="shared" si="3"/>
        <v>0</v>
      </c>
      <c r="X151" s="2">
        <v>46230</v>
      </c>
    </row>
    <row r="152" spans="1:25" ht="15.75" customHeight="1" x14ac:dyDescent="0.2">
      <c r="A152" t="s">
        <v>32</v>
      </c>
      <c r="B152" t="s">
        <v>281</v>
      </c>
      <c r="C152" t="s">
        <v>166</v>
      </c>
      <c r="D152" t="s">
        <v>448</v>
      </c>
      <c r="E152" t="s">
        <v>28</v>
      </c>
      <c r="F152" t="s">
        <v>28</v>
      </c>
      <c r="H152" s="7" t="s">
        <v>605</v>
      </c>
      <c r="I152" s="11" t="s">
        <v>606</v>
      </c>
      <c r="J152" s="3" t="s">
        <v>40</v>
      </c>
      <c r="K152">
        <v>0.73299999999999998</v>
      </c>
      <c r="L152">
        <v>0.73299999999999998</v>
      </c>
      <c r="M152" s="2">
        <v>45065</v>
      </c>
      <c r="N152" s="2">
        <v>45138</v>
      </c>
      <c r="O152">
        <v>0.73299999999999998</v>
      </c>
      <c r="P152" s="17">
        <v>0</v>
      </c>
      <c r="Q152" s="17">
        <v>0</v>
      </c>
      <c r="R152">
        <v>0</v>
      </c>
      <c r="S152" s="17">
        <f t="shared" si="2"/>
        <v>0</v>
      </c>
      <c r="T152">
        <v>0</v>
      </c>
      <c r="U152">
        <v>0.73299999999999998</v>
      </c>
      <c r="V152">
        <v>0</v>
      </c>
      <c r="W152" s="17">
        <v>0</v>
      </c>
      <c r="X152" s="2">
        <v>46230</v>
      </c>
    </row>
    <row r="153" spans="1:25" ht="15.75" customHeight="1" x14ac:dyDescent="0.2">
      <c r="A153" t="s">
        <v>32</v>
      </c>
      <c r="B153" t="s">
        <v>281</v>
      </c>
      <c r="C153" t="s">
        <v>166</v>
      </c>
      <c r="D153" t="s">
        <v>448</v>
      </c>
      <c r="E153" t="s">
        <v>28</v>
      </c>
      <c r="F153" t="s">
        <v>28</v>
      </c>
      <c r="H153" s="7" t="s">
        <v>607</v>
      </c>
      <c r="I153" s="11" t="s">
        <v>606</v>
      </c>
      <c r="J153" s="3" t="s">
        <v>40</v>
      </c>
      <c r="K153">
        <v>0.25600000000000001</v>
      </c>
      <c r="L153">
        <v>0.25600000000000001</v>
      </c>
      <c r="M153" s="2">
        <v>45197</v>
      </c>
      <c r="N153" s="2">
        <v>45287</v>
      </c>
      <c r="O153">
        <v>0.25600000000000001</v>
      </c>
      <c r="P153" s="17">
        <v>0</v>
      </c>
      <c r="Q153" s="17">
        <v>0</v>
      </c>
      <c r="R153">
        <v>0</v>
      </c>
      <c r="S153" s="17">
        <f t="shared" si="2"/>
        <v>0</v>
      </c>
      <c r="T153">
        <v>0</v>
      </c>
      <c r="U153">
        <v>0.25600000000000001</v>
      </c>
      <c r="V153">
        <v>0</v>
      </c>
      <c r="W153" s="17">
        <f>O153-(R153+S153+T153+U153+V153)</f>
        <v>0</v>
      </c>
      <c r="X153" s="2">
        <v>46230</v>
      </c>
    </row>
    <row r="154" spans="1:25" ht="15.75" customHeight="1" x14ac:dyDescent="0.2">
      <c r="A154" t="s">
        <v>32</v>
      </c>
      <c r="B154" t="s">
        <v>281</v>
      </c>
      <c r="C154" t="s">
        <v>166</v>
      </c>
      <c r="D154" t="s">
        <v>448</v>
      </c>
      <c r="E154" t="s">
        <v>28</v>
      </c>
      <c r="F154" t="s">
        <v>28</v>
      </c>
      <c r="H154" s="7" t="s">
        <v>608</v>
      </c>
      <c r="I154" s="11" t="s">
        <v>606</v>
      </c>
      <c r="J154" s="3" t="s">
        <v>40</v>
      </c>
      <c r="K154">
        <v>0.94399999999999995</v>
      </c>
      <c r="L154">
        <v>0.94399999999999995</v>
      </c>
      <c r="M154" s="2">
        <v>45532</v>
      </c>
      <c r="N154" s="2">
        <v>45565</v>
      </c>
      <c r="O154">
        <v>0.94399999999999995</v>
      </c>
      <c r="P154" s="17">
        <v>0</v>
      </c>
      <c r="Q154" s="17">
        <v>0</v>
      </c>
      <c r="R154">
        <v>0</v>
      </c>
      <c r="S154" s="17">
        <f t="shared" si="2"/>
        <v>0</v>
      </c>
      <c r="T154">
        <v>0.94399999999999995</v>
      </c>
      <c r="U154">
        <v>0</v>
      </c>
      <c r="V154">
        <v>0</v>
      </c>
      <c r="W154" s="17">
        <f>O154-(R154+S154+T154+U154+V154)</f>
        <v>0</v>
      </c>
      <c r="X154" s="2">
        <v>46230</v>
      </c>
    </row>
    <row r="155" spans="1:25" ht="17" x14ac:dyDescent="0.2">
      <c r="A155" t="s">
        <v>32</v>
      </c>
      <c r="B155" t="s">
        <v>281</v>
      </c>
      <c r="C155" t="s">
        <v>765</v>
      </c>
      <c r="D155" t="s">
        <v>448</v>
      </c>
      <c r="E155" t="s">
        <v>44</v>
      </c>
      <c r="F155" t="s">
        <v>44</v>
      </c>
      <c r="H155" s="7" t="s">
        <v>766</v>
      </c>
      <c r="I155" s="11" t="s">
        <v>767</v>
      </c>
      <c r="J155" s="3" t="s">
        <v>40</v>
      </c>
      <c r="K155">
        <v>8.7999999999999995E-2</v>
      </c>
      <c r="L155">
        <v>8.7999999999999995E-2</v>
      </c>
      <c r="M155" s="2">
        <v>45919</v>
      </c>
      <c r="N155" s="2">
        <v>46009</v>
      </c>
      <c r="O155" s="17">
        <v>8.7999999999999995E-2</v>
      </c>
      <c r="P155" s="17">
        <v>8.7999999999999995E-2</v>
      </c>
      <c r="Q155" s="17">
        <v>8.7999999999999995E-2</v>
      </c>
      <c r="R155">
        <v>0</v>
      </c>
      <c r="S155" s="17">
        <f t="shared" si="2"/>
        <v>8.7999999999999995E-2</v>
      </c>
      <c r="T155">
        <v>0</v>
      </c>
      <c r="U155">
        <v>0</v>
      </c>
      <c r="V155">
        <v>0</v>
      </c>
      <c r="W155" s="17">
        <f>O155-(R155+S155+T155+U155+V155)</f>
        <v>0</v>
      </c>
      <c r="X155" s="2">
        <v>46230</v>
      </c>
    </row>
    <row r="156" spans="1:25" ht="17" x14ac:dyDescent="0.2">
      <c r="A156" t="s">
        <v>32</v>
      </c>
      <c r="B156" t="s">
        <v>47</v>
      </c>
      <c r="C156" t="s">
        <v>48</v>
      </c>
      <c r="D156" t="s">
        <v>48</v>
      </c>
      <c r="E156" t="s">
        <v>49</v>
      </c>
      <c r="F156" t="s">
        <v>49</v>
      </c>
      <c r="H156" s="7" t="s">
        <v>50</v>
      </c>
      <c r="I156" s="11" t="s">
        <v>51</v>
      </c>
      <c r="J156" s="3" t="s">
        <v>31</v>
      </c>
      <c r="K156">
        <v>310.2</v>
      </c>
      <c r="L156">
        <v>513.70000000000005</v>
      </c>
      <c r="M156" s="2">
        <v>45198</v>
      </c>
      <c r="N156" s="2"/>
      <c r="O156">
        <v>310.2</v>
      </c>
      <c r="P156" s="17">
        <v>195.64</v>
      </c>
      <c r="Q156" s="17">
        <v>195.64</v>
      </c>
      <c r="R156">
        <v>116.18</v>
      </c>
      <c r="S156" s="17">
        <f t="shared" si="2"/>
        <v>79.45999999999998</v>
      </c>
      <c r="T156">
        <v>65.718999999999994</v>
      </c>
      <c r="U156">
        <v>48.854999999999997</v>
      </c>
      <c r="V156">
        <v>0</v>
      </c>
      <c r="W156" s="17">
        <v>0</v>
      </c>
      <c r="X156" s="2">
        <v>46230</v>
      </c>
    </row>
    <row r="157" spans="1:25" ht="17" customHeight="1" x14ac:dyDescent="0.2">
      <c r="A157" t="s">
        <v>32</v>
      </c>
      <c r="B157" t="s">
        <v>47</v>
      </c>
      <c r="C157" t="s">
        <v>219</v>
      </c>
      <c r="D157" t="s">
        <v>220</v>
      </c>
      <c r="E157" t="s">
        <v>49</v>
      </c>
      <c r="F157" t="s">
        <v>49</v>
      </c>
      <c r="H157" s="7" t="s">
        <v>221</v>
      </c>
      <c r="I157" s="12" t="s">
        <v>222</v>
      </c>
      <c r="J157" s="3" t="s">
        <v>223</v>
      </c>
      <c r="K157">
        <v>15.5</v>
      </c>
      <c r="L157">
        <v>22.603999999999999</v>
      </c>
      <c r="M157" s="2">
        <v>42275</v>
      </c>
      <c r="N157" s="2">
        <v>44973</v>
      </c>
      <c r="O157" s="17">
        <v>2.6749999999999998</v>
      </c>
      <c r="P157" s="17">
        <v>0</v>
      </c>
      <c r="Q157" s="17">
        <v>0</v>
      </c>
      <c r="R157">
        <v>0</v>
      </c>
      <c r="S157">
        <v>0</v>
      </c>
      <c r="T157">
        <v>0</v>
      </c>
      <c r="U157">
        <v>0</v>
      </c>
      <c r="V157">
        <v>1.3160000000000001</v>
      </c>
      <c r="W157">
        <f>0.064+0.018+1.253+0.024+0.117</f>
        <v>1.476</v>
      </c>
      <c r="X157" s="2">
        <v>46230</v>
      </c>
      <c r="Y157" s="7" t="s">
        <v>1031</v>
      </c>
    </row>
    <row r="158" spans="1:25" ht="17" customHeight="1" x14ac:dyDescent="0.2">
      <c r="A158" t="s">
        <v>32</v>
      </c>
      <c r="B158" t="s">
        <v>47</v>
      </c>
      <c r="C158" t="s">
        <v>56</v>
      </c>
      <c r="D158" t="s">
        <v>57</v>
      </c>
      <c r="E158" t="s">
        <v>49</v>
      </c>
      <c r="F158" t="s">
        <v>49</v>
      </c>
      <c r="H158" s="7" t="s">
        <v>58</v>
      </c>
      <c r="I158" s="12" t="s">
        <v>59</v>
      </c>
      <c r="J158" s="3" t="s">
        <v>40</v>
      </c>
      <c r="K158">
        <v>80.599999999999994</v>
      </c>
      <c r="L158">
        <v>80.599999999999994</v>
      </c>
      <c r="M158" s="2">
        <v>43920</v>
      </c>
      <c r="N158" s="2">
        <v>45198</v>
      </c>
      <c r="O158" s="17">
        <v>65.715000000000003</v>
      </c>
      <c r="P158" s="17">
        <v>-5.024</v>
      </c>
      <c r="Q158" s="17">
        <v>-5.024</v>
      </c>
      <c r="R158">
        <v>-5.024</v>
      </c>
      <c r="S158">
        <v>0</v>
      </c>
      <c r="T158">
        <v>0</v>
      </c>
      <c r="U158">
        <v>11.074</v>
      </c>
      <c r="V158">
        <v>30.105</v>
      </c>
      <c r="W158">
        <v>24.536000000000001</v>
      </c>
      <c r="X158" s="2">
        <v>46230</v>
      </c>
    </row>
    <row r="159" spans="1:25" ht="17" customHeight="1" x14ac:dyDescent="0.2">
      <c r="A159" t="s">
        <v>32</v>
      </c>
      <c r="B159" t="s">
        <v>47</v>
      </c>
      <c r="C159" t="s">
        <v>56</v>
      </c>
      <c r="D159" t="s">
        <v>57</v>
      </c>
      <c r="E159" t="s">
        <v>49</v>
      </c>
      <c r="F159" t="s">
        <v>49</v>
      </c>
      <c r="H159" s="7" t="s">
        <v>558</v>
      </c>
      <c r="I159" s="12" t="s">
        <v>559</v>
      </c>
      <c r="J159" s="3" t="s">
        <v>40</v>
      </c>
      <c r="K159">
        <v>64.5</v>
      </c>
      <c r="L159">
        <v>134.9</v>
      </c>
      <c r="M159" s="2">
        <v>45131</v>
      </c>
      <c r="O159" s="17">
        <v>64.5</v>
      </c>
      <c r="P159" s="17">
        <v>22.382000000000001</v>
      </c>
      <c r="Q159" s="17">
        <v>22.382000000000001</v>
      </c>
      <c r="R159">
        <v>0</v>
      </c>
      <c r="S159">
        <v>22.382000000000001</v>
      </c>
      <c r="T159">
        <v>22.161000000000001</v>
      </c>
      <c r="U159">
        <v>19.931999999999999</v>
      </c>
      <c r="V159">
        <v>0</v>
      </c>
      <c r="W159">
        <v>0</v>
      </c>
      <c r="X159" s="2">
        <v>46230</v>
      </c>
    </row>
    <row r="160" spans="1:25" ht="17" x14ac:dyDescent="0.2">
      <c r="A160" t="s">
        <v>32</v>
      </c>
      <c r="B160" t="s">
        <v>33</v>
      </c>
      <c r="C160" t="s">
        <v>131</v>
      </c>
      <c r="D160" t="s">
        <v>132</v>
      </c>
      <c r="E160" t="s">
        <v>36</v>
      </c>
      <c r="F160" t="s">
        <v>133</v>
      </c>
      <c r="H160" s="7" t="s">
        <v>134</v>
      </c>
      <c r="I160" s="11" t="s">
        <v>135</v>
      </c>
      <c r="J160" s="3" t="s">
        <v>40</v>
      </c>
      <c r="K160">
        <v>12.5</v>
      </c>
      <c r="L160">
        <v>22.2</v>
      </c>
      <c r="M160" s="2">
        <v>45267</v>
      </c>
      <c r="N160" s="2">
        <v>45322</v>
      </c>
      <c r="O160">
        <v>12.5</v>
      </c>
      <c r="P160" s="17">
        <v>0</v>
      </c>
      <c r="Q160" s="17">
        <v>0</v>
      </c>
      <c r="R160">
        <v>0</v>
      </c>
      <c r="S160" s="17">
        <f>Q160-R160</f>
        <v>0</v>
      </c>
      <c r="T160">
        <v>7.5140000000000002</v>
      </c>
      <c r="U160">
        <v>5</v>
      </c>
      <c r="V160">
        <v>0</v>
      </c>
      <c r="W160" s="17">
        <v>0</v>
      </c>
      <c r="X160" s="2">
        <v>46230</v>
      </c>
    </row>
    <row r="161" spans="1:26" ht="17" x14ac:dyDescent="0.2">
      <c r="A161" t="s">
        <v>32</v>
      </c>
      <c r="B161" t="s">
        <v>33</v>
      </c>
      <c r="C161" t="s">
        <v>245</v>
      </c>
      <c r="D161" t="s">
        <v>245</v>
      </c>
      <c r="E161" t="s">
        <v>36</v>
      </c>
      <c r="F161" t="s">
        <v>37</v>
      </c>
      <c r="H161" s="7" t="s">
        <v>246</v>
      </c>
      <c r="I161" s="11" t="s">
        <v>247</v>
      </c>
      <c r="J161" s="3" t="s">
        <v>40</v>
      </c>
      <c r="K161">
        <v>2</v>
      </c>
      <c r="L161">
        <v>4.2</v>
      </c>
      <c r="M161" s="2">
        <v>45621</v>
      </c>
      <c r="N161" s="2">
        <v>45863</v>
      </c>
      <c r="O161">
        <v>2</v>
      </c>
      <c r="P161" s="17">
        <v>0.111</v>
      </c>
      <c r="Q161" s="17">
        <v>0.111</v>
      </c>
      <c r="R161">
        <v>0</v>
      </c>
      <c r="S161" s="17">
        <f>Q161-R161</f>
        <v>0.111</v>
      </c>
      <c r="T161">
        <v>1.913</v>
      </c>
      <c r="U161">
        <v>0</v>
      </c>
      <c r="V161">
        <v>0</v>
      </c>
      <c r="W161" s="17">
        <v>0</v>
      </c>
      <c r="X161" s="2">
        <v>46230</v>
      </c>
    </row>
    <row r="162" spans="1:26" ht="17" x14ac:dyDescent="0.2">
      <c r="A162" t="s">
        <v>32</v>
      </c>
      <c r="B162" t="s">
        <v>33</v>
      </c>
      <c r="C162" t="s">
        <v>34</v>
      </c>
      <c r="D162" t="s">
        <v>35</v>
      </c>
      <c r="E162" t="s">
        <v>36</v>
      </c>
      <c r="F162" t="s">
        <v>37</v>
      </c>
      <c r="H162" s="7" t="s">
        <v>38</v>
      </c>
      <c r="I162" s="11" t="s">
        <v>39</v>
      </c>
      <c r="J162" s="3" t="s">
        <v>40</v>
      </c>
      <c r="K162">
        <v>80.5</v>
      </c>
      <c r="L162">
        <v>82.5</v>
      </c>
      <c r="M162" s="2">
        <v>44095</v>
      </c>
      <c r="N162" s="2">
        <v>45977</v>
      </c>
      <c r="O162" s="17">
        <v>69.867000000000004</v>
      </c>
      <c r="P162" s="17">
        <v>3.448</v>
      </c>
      <c r="Q162" s="17">
        <v>3.448</v>
      </c>
      <c r="R162">
        <v>0</v>
      </c>
      <c r="S162" s="17">
        <v>3.448</v>
      </c>
      <c r="T162">
        <v>30.326000000000001</v>
      </c>
      <c r="U162">
        <v>18.728000000000002</v>
      </c>
      <c r="V162">
        <v>12.582000000000001</v>
      </c>
      <c r="W162" s="17">
        <v>4.7779999999999996</v>
      </c>
      <c r="X162" s="2">
        <v>46230</v>
      </c>
    </row>
    <row r="163" spans="1:26" ht="17" x14ac:dyDescent="0.2">
      <c r="A163" t="s">
        <v>32</v>
      </c>
      <c r="B163" t="s">
        <v>33</v>
      </c>
      <c r="C163" t="s">
        <v>34</v>
      </c>
      <c r="D163" t="s">
        <v>35</v>
      </c>
      <c r="E163" t="s">
        <v>36</v>
      </c>
      <c r="F163" t="s">
        <v>37</v>
      </c>
      <c r="H163" s="7" t="s">
        <v>736</v>
      </c>
      <c r="I163" s="11" t="s">
        <v>737</v>
      </c>
      <c r="J163" s="3" t="s">
        <v>40</v>
      </c>
      <c r="K163">
        <v>22.5</v>
      </c>
      <c r="L163">
        <v>35.9</v>
      </c>
      <c r="M163" s="2">
        <v>45966</v>
      </c>
      <c r="N163" s="2"/>
      <c r="O163" s="17">
        <v>22.5</v>
      </c>
      <c r="P163" s="17">
        <v>22.5</v>
      </c>
      <c r="Q163" s="17">
        <v>22.5</v>
      </c>
      <c r="R163">
        <v>15.02</v>
      </c>
      <c r="S163" s="17">
        <v>7.4470000000000001</v>
      </c>
      <c r="T163">
        <v>0</v>
      </c>
      <c r="U163">
        <v>0</v>
      </c>
      <c r="V163">
        <v>0</v>
      </c>
      <c r="W163" s="17">
        <v>0</v>
      </c>
      <c r="X163" s="2">
        <v>46230</v>
      </c>
    </row>
    <row r="164" spans="1:26" ht="15.75" customHeight="1" x14ac:dyDescent="0.2">
      <c r="A164" t="s">
        <v>32</v>
      </c>
      <c r="B164" t="s">
        <v>33</v>
      </c>
      <c r="C164" t="s">
        <v>34</v>
      </c>
      <c r="D164" t="s">
        <v>35</v>
      </c>
      <c r="E164" t="s">
        <v>36</v>
      </c>
      <c r="F164" t="s">
        <v>37</v>
      </c>
      <c r="H164" s="7" t="s">
        <v>738</v>
      </c>
      <c r="I164" s="11" t="s">
        <v>739</v>
      </c>
      <c r="J164" s="3" t="s">
        <v>40</v>
      </c>
      <c r="K164">
        <v>297</v>
      </c>
      <c r="L164">
        <v>386.4</v>
      </c>
      <c r="M164" s="2">
        <v>45291</v>
      </c>
      <c r="O164" s="17">
        <v>297</v>
      </c>
      <c r="P164" s="17">
        <v>137.54</v>
      </c>
      <c r="Q164" s="17">
        <v>137.54</v>
      </c>
      <c r="R164">
        <v>72.400000000000006</v>
      </c>
      <c r="S164" s="17">
        <f>Q164-R164</f>
        <v>65.139999999999986</v>
      </c>
      <c r="T164">
        <v>119.499</v>
      </c>
      <c r="U164">
        <v>40</v>
      </c>
      <c r="V164">
        <v>0</v>
      </c>
      <c r="W164" s="17">
        <v>0</v>
      </c>
      <c r="X164" s="2">
        <v>46230</v>
      </c>
    </row>
    <row r="165" spans="1:26" ht="17" x14ac:dyDescent="0.2">
      <c r="A165" t="s">
        <v>32</v>
      </c>
      <c r="B165" t="s">
        <v>33</v>
      </c>
      <c r="C165" t="s">
        <v>52</v>
      </c>
      <c r="D165" t="s">
        <v>53</v>
      </c>
      <c r="E165" t="s">
        <v>36</v>
      </c>
      <c r="F165" t="s">
        <v>37</v>
      </c>
      <c r="H165" s="7" t="s">
        <v>54</v>
      </c>
      <c r="I165" s="11" t="s">
        <v>55</v>
      </c>
      <c r="J165" s="3" t="s">
        <v>40</v>
      </c>
      <c r="K165">
        <v>0.79400000000000004</v>
      </c>
      <c r="L165">
        <v>0.79400000000000004</v>
      </c>
      <c r="M165" s="2">
        <v>45139</v>
      </c>
      <c r="N165" s="2">
        <v>45322</v>
      </c>
      <c r="O165">
        <v>0.79400000000000004</v>
      </c>
      <c r="P165" s="17">
        <v>0</v>
      </c>
      <c r="Q165" s="17">
        <v>0</v>
      </c>
      <c r="R165">
        <v>0</v>
      </c>
      <c r="S165" s="17">
        <v>-0.13</v>
      </c>
      <c r="T165">
        <v>0</v>
      </c>
      <c r="U165">
        <v>0.92400000000000004</v>
      </c>
      <c r="V165">
        <v>0</v>
      </c>
      <c r="W165" s="17">
        <f>O165-(R165+S165+T165+U165+V165)</f>
        <v>0</v>
      </c>
      <c r="X165" s="2">
        <v>46230</v>
      </c>
    </row>
    <row r="166" spans="1:26" ht="17" x14ac:dyDescent="0.2">
      <c r="A166" t="s">
        <v>32</v>
      </c>
      <c r="B166" t="s">
        <v>33</v>
      </c>
      <c r="C166" t="s">
        <v>52</v>
      </c>
      <c r="D166" t="s">
        <v>53</v>
      </c>
      <c r="E166" t="s">
        <v>36</v>
      </c>
      <c r="F166" t="s">
        <v>37</v>
      </c>
      <c r="H166" s="7" t="s">
        <v>564</v>
      </c>
      <c r="I166" s="11" t="s">
        <v>565</v>
      </c>
      <c r="J166" s="3" t="s">
        <v>40</v>
      </c>
      <c r="K166">
        <v>77.099999999999994</v>
      </c>
      <c r="L166">
        <v>188.8</v>
      </c>
      <c r="M166" s="2">
        <v>45017</v>
      </c>
      <c r="N166" s="2"/>
      <c r="O166">
        <v>77.099999999999994</v>
      </c>
      <c r="P166" s="17">
        <v>26.884</v>
      </c>
      <c r="Q166" s="17">
        <v>26.884</v>
      </c>
      <c r="R166">
        <v>0</v>
      </c>
      <c r="S166" s="17">
        <f>Q166-R166</f>
        <v>26.884</v>
      </c>
      <c r="T166">
        <v>28.663</v>
      </c>
      <c r="U166">
        <v>21.602</v>
      </c>
      <c r="V166">
        <v>0</v>
      </c>
      <c r="W166" s="17">
        <v>0</v>
      </c>
      <c r="X166" s="2">
        <v>46230</v>
      </c>
    </row>
    <row r="167" spans="1:26" ht="15.75" customHeight="1" x14ac:dyDescent="0.2">
      <c r="A167" t="s">
        <v>32</v>
      </c>
      <c r="B167" t="s">
        <v>33</v>
      </c>
      <c r="C167" t="s">
        <v>560</v>
      </c>
      <c r="D167" t="s">
        <v>53</v>
      </c>
      <c r="E167" t="s">
        <v>36</v>
      </c>
      <c r="F167" t="s">
        <v>133</v>
      </c>
      <c r="G167" t="s">
        <v>561</v>
      </c>
      <c r="H167" s="7" t="s">
        <v>562</v>
      </c>
      <c r="I167" s="11" t="s">
        <v>563</v>
      </c>
      <c r="J167" s="3" t="s">
        <v>228</v>
      </c>
      <c r="K167">
        <v>261.39999999999998</v>
      </c>
      <c r="L167">
        <v>22000</v>
      </c>
      <c r="M167" s="2">
        <v>41768</v>
      </c>
      <c r="N167" s="2">
        <v>45199</v>
      </c>
      <c r="O167" s="17">
        <v>52.594999999999999</v>
      </c>
      <c r="P167" s="17">
        <v>0</v>
      </c>
      <c r="Q167" s="17">
        <v>0</v>
      </c>
      <c r="R167">
        <v>0</v>
      </c>
      <c r="S167" s="17">
        <v>0</v>
      </c>
      <c r="T167">
        <v>0</v>
      </c>
      <c r="U167">
        <v>6.4710000000000001</v>
      </c>
      <c r="V167">
        <v>10.125999999999999</v>
      </c>
      <c r="W167" s="17">
        <f>-0.01-1.428395+0.288006+37.148551</f>
        <v>35.998162000000001</v>
      </c>
      <c r="X167" s="2">
        <v>46230</v>
      </c>
      <c r="Y167" s="20" t="s">
        <v>1032</v>
      </c>
    </row>
    <row r="168" spans="1:26" ht="17" x14ac:dyDescent="0.2">
      <c r="A168" t="s">
        <v>32</v>
      </c>
      <c r="B168" t="s">
        <v>33</v>
      </c>
      <c r="C168" t="s">
        <v>106</v>
      </c>
      <c r="D168" t="s">
        <v>106</v>
      </c>
      <c r="E168" t="s">
        <v>36</v>
      </c>
      <c r="F168" t="s">
        <v>107</v>
      </c>
      <c r="H168" s="7" t="s">
        <v>108</v>
      </c>
      <c r="I168" s="11" t="s">
        <v>109</v>
      </c>
      <c r="J168" s="3" t="s">
        <v>31</v>
      </c>
      <c r="K168">
        <v>33.4</v>
      </c>
      <c r="L168">
        <v>59.2</v>
      </c>
      <c r="M168" s="2">
        <v>45163</v>
      </c>
      <c r="O168">
        <v>33.4</v>
      </c>
      <c r="P168" s="17">
        <v>13.148999999999999</v>
      </c>
      <c r="Q168" s="17">
        <v>13.148999999999999</v>
      </c>
      <c r="R168">
        <v>0</v>
      </c>
      <c r="S168" s="17">
        <f>Q168-R168</f>
        <v>13.148999999999999</v>
      </c>
      <c r="T168">
        <v>14.231999999999999</v>
      </c>
      <c r="U168">
        <v>6</v>
      </c>
      <c r="V168">
        <v>0</v>
      </c>
      <c r="W168" s="17">
        <v>0</v>
      </c>
      <c r="X168" s="2">
        <v>46230</v>
      </c>
      <c r="Y168" s="7" t="s">
        <v>1033</v>
      </c>
      <c r="Z168" s="7" t="s">
        <v>1034</v>
      </c>
    </row>
    <row r="169" spans="1:26" ht="15.75" customHeight="1" x14ac:dyDescent="0.2">
      <c r="A169" t="s">
        <v>86</v>
      </c>
      <c r="B169" t="s">
        <v>87</v>
      </c>
      <c r="C169" t="s">
        <v>119</v>
      </c>
      <c r="D169" t="s">
        <v>119</v>
      </c>
      <c r="E169" t="s">
        <v>44</v>
      </c>
      <c r="F169" t="s">
        <v>44</v>
      </c>
      <c r="H169" s="7" t="s">
        <v>120</v>
      </c>
      <c r="I169" s="11" t="s">
        <v>121</v>
      </c>
      <c r="J169" s="3" t="s">
        <v>122</v>
      </c>
      <c r="K169">
        <v>3.68</v>
      </c>
      <c r="L169">
        <v>6.5</v>
      </c>
      <c r="M169" s="2">
        <v>43713</v>
      </c>
      <c r="N169" s="2">
        <v>45564</v>
      </c>
      <c r="O169" s="17">
        <v>2.8969999999999998</v>
      </c>
      <c r="P169" s="17">
        <v>0</v>
      </c>
      <c r="Q169" s="17">
        <v>0</v>
      </c>
      <c r="R169">
        <v>0</v>
      </c>
      <c r="S169" s="17">
        <f>Q169-R169</f>
        <v>0</v>
      </c>
      <c r="T169">
        <v>0</v>
      </c>
      <c r="U169">
        <v>1.3</v>
      </c>
      <c r="V169">
        <v>0.92900000000000005</v>
      </c>
      <c r="W169" s="17">
        <f>O169-(R169+S169+T169+U169+V169)</f>
        <v>0.66799999999999971</v>
      </c>
      <c r="X169" s="2">
        <v>46230</v>
      </c>
      <c r="Y169" s="6" t="s">
        <v>1035</v>
      </c>
    </row>
    <row r="170" spans="1:26" ht="15.75" customHeight="1" x14ac:dyDescent="0.2">
      <c r="A170" t="s">
        <v>86</v>
      </c>
      <c r="B170" t="s">
        <v>87</v>
      </c>
      <c r="C170" t="s">
        <v>119</v>
      </c>
      <c r="D170" t="s">
        <v>119</v>
      </c>
      <c r="E170" t="s">
        <v>78</v>
      </c>
      <c r="F170" t="s">
        <v>78</v>
      </c>
      <c r="H170" s="7" t="s">
        <v>862</v>
      </c>
      <c r="I170" s="11" t="s">
        <v>863</v>
      </c>
      <c r="J170" s="3" t="s">
        <v>31</v>
      </c>
      <c r="K170">
        <v>0.23</v>
      </c>
      <c r="L170">
        <v>0.23</v>
      </c>
      <c r="M170" s="2">
        <v>44461</v>
      </c>
      <c r="N170" s="2">
        <v>44466</v>
      </c>
      <c r="O170" s="17">
        <v>0.23</v>
      </c>
      <c r="P170" s="17">
        <v>0</v>
      </c>
      <c r="Q170" s="17">
        <v>0</v>
      </c>
      <c r="R170">
        <v>0</v>
      </c>
      <c r="S170" s="17">
        <f>Q170-R170</f>
        <v>0</v>
      </c>
      <c r="T170">
        <v>0</v>
      </c>
      <c r="U170">
        <v>0</v>
      </c>
      <c r="V170">
        <v>0</v>
      </c>
      <c r="W170" s="17">
        <f>O170-(R170+S170+T170+U170+V170)</f>
        <v>0.23</v>
      </c>
      <c r="X170" s="2">
        <v>46230</v>
      </c>
    </row>
    <row r="171" spans="1:26" ht="15.75" customHeight="1" x14ac:dyDescent="0.2">
      <c r="A171" t="s">
        <v>86</v>
      </c>
      <c r="B171" t="s">
        <v>87</v>
      </c>
      <c r="C171" t="s">
        <v>166</v>
      </c>
      <c r="D171" t="s">
        <v>119</v>
      </c>
      <c r="E171" t="s">
        <v>28</v>
      </c>
      <c r="F171" t="s">
        <v>28</v>
      </c>
      <c r="H171" s="7" t="s">
        <v>581</v>
      </c>
      <c r="I171" s="11" t="s">
        <v>582</v>
      </c>
      <c r="J171" s="3" t="s">
        <v>40</v>
      </c>
      <c r="K171">
        <v>3.8</v>
      </c>
      <c r="L171">
        <v>3.8</v>
      </c>
      <c r="M171" s="2">
        <v>44461</v>
      </c>
      <c r="N171" s="2">
        <v>44460</v>
      </c>
      <c r="O171" s="17">
        <v>3.8</v>
      </c>
      <c r="P171" s="17">
        <v>0</v>
      </c>
      <c r="Q171" s="17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3.8</v>
      </c>
      <c r="X171" s="2">
        <v>46230</v>
      </c>
    </row>
    <row r="172" spans="1:26" ht="15.75" customHeight="1" x14ac:dyDescent="0.2">
      <c r="A172" t="s">
        <v>86</v>
      </c>
      <c r="B172" t="s">
        <v>87</v>
      </c>
      <c r="C172" t="s">
        <v>166</v>
      </c>
      <c r="D172" t="s">
        <v>119</v>
      </c>
      <c r="E172" t="s">
        <v>28</v>
      </c>
      <c r="F172" t="s">
        <v>28</v>
      </c>
      <c r="H172" s="7" t="s">
        <v>583</v>
      </c>
      <c r="I172" s="11" t="s">
        <v>584</v>
      </c>
      <c r="J172" s="3" t="s">
        <v>40</v>
      </c>
      <c r="K172">
        <v>5.9</v>
      </c>
      <c r="L172">
        <v>11.8</v>
      </c>
      <c r="M172" s="2">
        <v>45194</v>
      </c>
      <c r="N172" s="2">
        <v>45657</v>
      </c>
      <c r="O172" s="17">
        <v>5.9</v>
      </c>
      <c r="P172" s="17">
        <v>0</v>
      </c>
      <c r="Q172" s="17">
        <v>0</v>
      </c>
      <c r="R172">
        <v>0</v>
      </c>
      <c r="S172">
        <v>0</v>
      </c>
      <c r="T172">
        <v>3.6469999999999998</v>
      </c>
      <c r="U172">
        <v>2.2589999999999999</v>
      </c>
      <c r="V172">
        <v>0</v>
      </c>
      <c r="W172">
        <v>0</v>
      </c>
      <c r="X172" s="2">
        <v>46230</v>
      </c>
      <c r="Y172" t="s">
        <v>1036</v>
      </c>
    </row>
    <row r="173" spans="1:26" ht="15.75" customHeight="1" x14ac:dyDescent="0.2">
      <c r="A173" t="s">
        <v>86</v>
      </c>
      <c r="B173" t="s">
        <v>87</v>
      </c>
      <c r="C173" t="s">
        <v>758</v>
      </c>
      <c r="D173" t="s">
        <v>119</v>
      </c>
      <c r="E173" t="s">
        <v>44</v>
      </c>
      <c r="F173" t="s">
        <v>44</v>
      </c>
      <c r="H173" s="7" t="s">
        <v>759</v>
      </c>
      <c r="I173" s="11" t="s">
        <v>760</v>
      </c>
      <c r="J173" s="3" t="s">
        <v>40</v>
      </c>
      <c r="K173">
        <v>10.3</v>
      </c>
      <c r="L173">
        <v>56.9</v>
      </c>
      <c r="M173" s="2">
        <v>46162</v>
      </c>
      <c r="O173" s="17">
        <v>10.3</v>
      </c>
      <c r="P173" s="17">
        <v>10.3</v>
      </c>
      <c r="Q173" s="17">
        <v>10.3</v>
      </c>
      <c r="R173">
        <v>10.3</v>
      </c>
      <c r="S173">
        <v>0</v>
      </c>
      <c r="T173">
        <v>0</v>
      </c>
      <c r="U173">
        <v>0</v>
      </c>
      <c r="V173">
        <v>0</v>
      </c>
      <c r="W173">
        <v>0</v>
      </c>
      <c r="X173" s="2">
        <v>46230</v>
      </c>
      <c r="Y173" s="7" t="s">
        <v>1037</v>
      </c>
    </row>
    <row r="174" spans="1:26" ht="15.75" customHeight="1" x14ac:dyDescent="0.2">
      <c r="A174" t="s">
        <v>86</v>
      </c>
      <c r="B174" t="s">
        <v>87</v>
      </c>
      <c r="C174" t="s">
        <v>197</v>
      </c>
      <c r="D174" t="s">
        <v>198</v>
      </c>
      <c r="E174" t="s">
        <v>78</v>
      </c>
      <c r="F174" t="s">
        <v>78</v>
      </c>
      <c r="H174" s="7" t="s">
        <v>199</v>
      </c>
      <c r="I174" s="11" t="s">
        <v>200</v>
      </c>
      <c r="J174" s="3" t="s">
        <v>31</v>
      </c>
      <c r="K174">
        <v>3.6</v>
      </c>
      <c r="L174">
        <v>3.6</v>
      </c>
      <c r="M174" s="2">
        <v>44818</v>
      </c>
      <c r="N174" s="2">
        <v>44942</v>
      </c>
      <c r="O174" s="17">
        <v>3.6</v>
      </c>
      <c r="P174" s="17">
        <v>0</v>
      </c>
      <c r="Q174" s="17">
        <v>0</v>
      </c>
      <c r="R174">
        <v>0</v>
      </c>
      <c r="S174" s="17">
        <f>Q174-R174</f>
        <v>0</v>
      </c>
      <c r="T174">
        <v>0</v>
      </c>
      <c r="U174">
        <v>0</v>
      </c>
      <c r="V174">
        <v>3.5760000000000001</v>
      </c>
      <c r="W174" s="17">
        <v>0</v>
      </c>
      <c r="X174" s="2">
        <v>46230</v>
      </c>
      <c r="Y174" t="s">
        <v>1038</v>
      </c>
    </row>
    <row r="175" spans="1:26" ht="15.75" customHeight="1" x14ac:dyDescent="0.2">
      <c r="A175" t="s">
        <v>86</v>
      </c>
      <c r="B175" t="s">
        <v>87</v>
      </c>
      <c r="C175" t="s">
        <v>197</v>
      </c>
      <c r="D175" t="s">
        <v>198</v>
      </c>
      <c r="E175" t="s">
        <v>78</v>
      </c>
      <c r="F175" t="s">
        <v>78</v>
      </c>
      <c r="H175" s="7" t="s">
        <v>677</v>
      </c>
      <c r="I175" s="11" t="s">
        <v>678</v>
      </c>
      <c r="J175" s="3" t="s">
        <v>91</v>
      </c>
      <c r="K175">
        <v>0.66300000000000003</v>
      </c>
      <c r="L175">
        <v>0.66300000000000003</v>
      </c>
      <c r="M175" s="2">
        <v>44287</v>
      </c>
      <c r="N175" s="2">
        <v>44651</v>
      </c>
      <c r="O175" s="17">
        <v>0.66300000000000003</v>
      </c>
      <c r="P175" s="17">
        <v>0</v>
      </c>
      <c r="Q175" s="17">
        <v>0</v>
      </c>
      <c r="R175">
        <v>0</v>
      </c>
      <c r="S175" s="17">
        <f>Q175-R175</f>
        <v>0</v>
      </c>
      <c r="T175">
        <v>0</v>
      </c>
      <c r="U175">
        <v>0</v>
      </c>
      <c r="V175">
        <v>0</v>
      </c>
      <c r="W175" s="17">
        <f>O175-(R175+S175+T175+U175+V175)</f>
        <v>0.66300000000000003</v>
      </c>
      <c r="X175" s="2">
        <v>46230</v>
      </c>
    </row>
    <row r="176" spans="1:26" ht="15.75" customHeight="1" x14ac:dyDescent="0.2">
      <c r="A176" t="s">
        <v>86</v>
      </c>
      <c r="B176" t="s">
        <v>87</v>
      </c>
      <c r="C176" t="s">
        <v>429</v>
      </c>
      <c r="D176" t="s">
        <v>430</v>
      </c>
      <c r="E176" t="s">
        <v>44</v>
      </c>
      <c r="F176" t="s">
        <v>44</v>
      </c>
      <c r="H176" s="7" t="s">
        <v>431</v>
      </c>
      <c r="I176" s="12" t="s">
        <v>432</v>
      </c>
      <c r="J176" s="3" t="s">
        <v>91</v>
      </c>
      <c r="K176">
        <v>1.2E-2</v>
      </c>
      <c r="L176">
        <v>1.2E-2</v>
      </c>
      <c r="M176" s="2">
        <v>45884</v>
      </c>
      <c r="O176" s="17">
        <v>1.2E-2</v>
      </c>
      <c r="P176" s="17">
        <v>1.2E-2</v>
      </c>
      <c r="Q176" s="17">
        <v>1.2E-2</v>
      </c>
      <c r="R176">
        <v>0</v>
      </c>
      <c r="S176">
        <v>1.2E-2</v>
      </c>
      <c r="T176">
        <v>0</v>
      </c>
      <c r="U176">
        <v>0</v>
      </c>
      <c r="V176">
        <v>0</v>
      </c>
      <c r="W176">
        <v>0</v>
      </c>
      <c r="X176" s="2">
        <v>46230</v>
      </c>
      <c r="Y176" s="7" t="s">
        <v>1039</v>
      </c>
    </row>
    <row r="177" spans="1:26" ht="15.75" customHeight="1" x14ac:dyDescent="0.2">
      <c r="A177" t="s">
        <v>86</v>
      </c>
      <c r="B177" t="s">
        <v>87</v>
      </c>
      <c r="C177" t="s">
        <v>1040</v>
      </c>
      <c r="D177" t="s">
        <v>88</v>
      </c>
      <c r="E177" t="s">
        <v>78</v>
      </c>
      <c r="F177" t="s">
        <v>78</v>
      </c>
      <c r="H177" s="7" t="s">
        <v>89</v>
      </c>
      <c r="I177" s="11" t="s">
        <v>90</v>
      </c>
      <c r="J177" s="3" t="s">
        <v>91</v>
      </c>
      <c r="K177">
        <v>0.28000000000000003</v>
      </c>
      <c r="L177">
        <v>0.30499999999999999</v>
      </c>
      <c r="M177" s="2">
        <v>44387</v>
      </c>
      <c r="N177" s="2">
        <v>45869</v>
      </c>
      <c r="O177" s="17">
        <v>0.28000000000000003</v>
      </c>
      <c r="P177" s="17">
        <v>0</v>
      </c>
      <c r="Q177" s="17">
        <v>0</v>
      </c>
      <c r="R177">
        <v>0</v>
      </c>
      <c r="S177" s="17">
        <f t="shared" ref="S177:S184" si="4">Q177-R177</f>
        <v>0</v>
      </c>
      <c r="T177">
        <v>9.5000000000000001E-2</v>
      </c>
      <c r="U177">
        <v>4.4999999999999998E-2</v>
      </c>
      <c r="V177">
        <v>0.14000000000000001</v>
      </c>
      <c r="W177" s="17">
        <f>O177-(R177+S177+T177+U177+V177)</f>
        <v>0</v>
      </c>
      <c r="X177" s="2">
        <v>46230</v>
      </c>
      <c r="Y177" s="7" t="s">
        <v>1041</v>
      </c>
    </row>
    <row r="178" spans="1:26" ht="15.75" customHeight="1" x14ac:dyDescent="0.2">
      <c r="A178" t="s">
        <v>86</v>
      </c>
      <c r="B178" t="s">
        <v>87</v>
      </c>
      <c r="C178" t="s">
        <v>397</v>
      </c>
      <c r="D178" t="s">
        <v>371</v>
      </c>
      <c r="E178" t="s">
        <v>28</v>
      </c>
      <c r="F178" t="s">
        <v>28</v>
      </c>
      <c r="H178" s="7" t="s">
        <v>398</v>
      </c>
      <c r="I178" s="11" t="s">
        <v>399</v>
      </c>
      <c r="J178" s="3" t="s">
        <v>91</v>
      </c>
      <c r="K178">
        <v>0.152</v>
      </c>
      <c r="L178">
        <v>0.152</v>
      </c>
      <c r="M178" s="2">
        <v>45426</v>
      </c>
      <c r="O178">
        <v>0.152</v>
      </c>
      <c r="P178" s="17">
        <v>9.4E-2</v>
      </c>
      <c r="Q178" s="17">
        <v>9.4E-2</v>
      </c>
      <c r="R178">
        <v>0</v>
      </c>
      <c r="S178" s="17">
        <f t="shared" si="4"/>
        <v>9.4E-2</v>
      </c>
      <c r="T178">
        <v>5.8999999999999997E-2</v>
      </c>
      <c r="U178">
        <v>0</v>
      </c>
      <c r="V178">
        <v>0</v>
      </c>
      <c r="W178" s="17">
        <v>0</v>
      </c>
      <c r="X178" s="2">
        <v>46230</v>
      </c>
      <c r="Y178" s="7" t="s">
        <v>1042</v>
      </c>
    </row>
    <row r="179" spans="1:26" ht="15.75" customHeight="1" x14ac:dyDescent="0.2">
      <c r="A179" t="s">
        <v>86</v>
      </c>
      <c r="B179" t="s">
        <v>87</v>
      </c>
      <c r="C179" t="s">
        <v>156</v>
      </c>
      <c r="D179" t="s">
        <v>157</v>
      </c>
      <c r="E179" t="s">
        <v>36</v>
      </c>
      <c r="F179" t="s">
        <v>158</v>
      </c>
      <c r="H179" s="7" t="s">
        <v>159</v>
      </c>
      <c r="I179" s="11" t="s">
        <v>160</v>
      </c>
      <c r="J179" s="3" t="s">
        <v>31</v>
      </c>
      <c r="K179">
        <v>1.8</v>
      </c>
      <c r="L179">
        <v>2.9</v>
      </c>
      <c r="M179" s="2">
        <v>44068</v>
      </c>
      <c r="N179" s="2">
        <v>45894</v>
      </c>
      <c r="O179" s="17">
        <v>1.175</v>
      </c>
      <c r="P179" s="17">
        <v>0</v>
      </c>
      <c r="Q179" s="17">
        <v>0</v>
      </c>
      <c r="R179">
        <v>0</v>
      </c>
      <c r="S179" s="17">
        <f t="shared" si="4"/>
        <v>0</v>
      </c>
      <c r="T179">
        <v>0</v>
      </c>
      <c r="U179">
        <v>0</v>
      </c>
      <c r="V179">
        <v>0.58799999999999997</v>
      </c>
      <c r="W179" s="17">
        <f>O179-(R179+S179+T179+U179+V179)</f>
        <v>0.58700000000000008</v>
      </c>
      <c r="X179" s="2">
        <v>46230</v>
      </c>
    </row>
    <row r="180" spans="1:26" ht="15.75" customHeight="1" x14ac:dyDescent="0.2">
      <c r="A180" t="s">
        <v>86</v>
      </c>
      <c r="B180" t="s">
        <v>87</v>
      </c>
      <c r="C180" t="s">
        <v>783</v>
      </c>
      <c r="D180" t="s">
        <v>157</v>
      </c>
      <c r="E180" t="s">
        <v>44</v>
      </c>
      <c r="F180" t="s">
        <v>44</v>
      </c>
      <c r="H180" s="7" t="s">
        <v>784</v>
      </c>
      <c r="I180" s="11" t="s">
        <v>785</v>
      </c>
      <c r="J180" s="3" t="s">
        <v>31</v>
      </c>
      <c r="K180">
        <v>2.899</v>
      </c>
      <c r="L180">
        <v>8.3000000000000007</v>
      </c>
      <c r="M180" s="2">
        <v>46113</v>
      </c>
      <c r="O180" s="17">
        <v>2.899</v>
      </c>
      <c r="P180" s="17">
        <v>2.899</v>
      </c>
      <c r="Q180" s="17">
        <v>2.899</v>
      </c>
      <c r="R180">
        <v>2.899</v>
      </c>
      <c r="S180" s="17">
        <f t="shared" si="4"/>
        <v>0</v>
      </c>
      <c r="T180">
        <v>0</v>
      </c>
      <c r="U180">
        <v>0</v>
      </c>
      <c r="V180">
        <v>0</v>
      </c>
      <c r="W180" s="17">
        <f>O180-(R180+S180+T180+U180+V180)</f>
        <v>0</v>
      </c>
      <c r="X180" s="2">
        <v>46230</v>
      </c>
      <c r="Y180" s="7" t="s">
        <v>1043</v>
      </c>
    </row>
    <row r="181" spans="1:26" ht="15.75" customHeight="1" x14ac:dyDescent="0.2">
      <c r="A181" t="s">
        <v>86</v>
      </c>
      <c r="B181" t="s">
        <v>87</v>
      </c>
      <c r="C181" t="s">
        <v>156</v>
      </c>
      <c r="D181" t="s">
        <v>157</v>
      </c>
      <c r="E181" t="s">
        <v>44</v>
      </c>
      <c r="F181" t="s">
        <v>44</v>
      </c>
      <c r="H181" s="7" t="s">
        <v>771</v>
      </c>
      <c r="I181" s="11" t="s">
        <v>772</v>
      </c>
      <c r="J181" s="3" t="s">
        <v>91</v>
      </c>
      <c r="K181">
        <v>0.23</v>
      </c>
      <c r="L181">
        <v>0.23</v>
      </c>
      <c r="M181" s="2">
        <v>44805</v>
      </c>
      <c r="N181" s="2">
        <v>45169</v>
      </c>
      <c r="O181">
        <v>0.23</v>
      </c>
      <c r="P181" s="17">
        <v>0</v>
      </c>
      <c r="Q181" s="17">
        <v>0</v>
      </c>
      <c r="R181">
        <v>0</v>
      </c>
      <c r="S181" s="17">
        <f t="shared" si="4"/>
        <v>0</v>
      </c>
      <c r="T181">
        <v>0</v>
      </c>
      <c r="U181">
        <v>0</v>
      </c>
      <c r="V181">
        <v>0.22500000000000001</v>
      </c>
      <c r="W181" s="17">
        <v>0</v>
      </c>
      <c r="X181" s="2">
        <v>46230</v>
      </c>
    </row>
    <row r="182" spans="1:26" ht="15.75" customHeight="1" x14ac:dyDescent="0.2">
      <c r="A182" t="s">
        <v>86</v>
      </c>
      <c r="B182" t="s">
        <v>87</v>
      </c>
      <c r="C182" t="s">
        <v>156</v>
      </c>
      <c r="D182" t="s">
        <v>157</v>
      </c>
      <c r="E182" t="s">
        <v>44</v>
      </c>
      <c r="F182" t="s">
        <v>44</v>
      </c>
      <c r="H182" s="7" t="s">
        <v>773</v>
      </c>
      <c r="I182" s="11" t="s">
        <v>774</v>
      </c>
      <c r="J182" s="3" t="s">
        <v>91</v>
      </c>
      <c r="K182">
        <v>3.3</v>
      </c>
      <c r="L182">
        <v>3.4</v>
      </c>
      <c r="M182" s="2">
        <v>45194</v>
      </c>
      <c r="N182" s="2">
        <v>46015</v>
      </c>
      <c r="O182">
        <v>3.3</v>
      </c>
      <c r="P182" s="17">
        <v>0.55100000000000005</v>
      </c>
      <c r="Q182" s="17">
        <v>0.55100000000000005</v>
      </c>
      <c r="R182">
        <v>0</v>
      </c>
      <c r="S182" s="17">
        <f t="shared" si="4"/>
        <v>0.55100000000000005</v>
      </c>
      <c r="T182">
        <v>1.383</v>
      </c>
      <c r="U182">
        <v>1.3879999999999999</v>
      </c>
      <c r="V182">
        <v>0</v>
      </c>
      <c r="W182" s="17">
        <v>0</v>
      </c>
      <c r="X182" s="2">
        <v>46230</v>
      </c>
    </row>
    <row r="183" spans="1:26" ht="15.75" customHeight="1" x14ac:dyDescent="0.2">
      <c r="A183" t="s">
        <v>86</v>
      </c>
      <c r="B183" t="s">
        <v>87</v>
      </c>
      <c r="C183" t="s">
        <v>566</v>
      </c>
      <c r="D183" t="s">
        <v>157</v>
      </c>
      <c r="E183" t="s">
        <v>44</v>
      </c>
      <c r="F183" t="s">
        <v>44</v>
      </c>
      <c r="H183" s="7" t="s">
        <v>567</v>
      </c>
      <c r="I183" s="11" t="s">
        <v>568</v>
      </c>
      <c r="J183" s="3" t="s">
        <v>91</v>
      </c>
      <c r="K183">
        <v>2.2999999999999998</v>
      </c>
      <c r="L183">
        <v>2.2999999999999998</v>
      </c>
      <c r="M183" s="2">
        <v>45925</v>
      </c>
      <c r="O183" s="17">
        <v>2.2999999999999998</v>
      </c>
      <c r="P183" s="17">
        <v>2.2999999999999998</v>
      </c>
      <c r="Q183" s="17">
        <v>2.2999999999999998</v>
      </c>
      <c r="R183">
        <v>0</v>
      </c>
      <c r="S183" s="17">
        <f t="shared" si="4"/>
        <v>2.2999999999999998</v>
      </c>
      <c r="T183">
        <v>0</v>
      </c>
      <c r="U183">
        <v>0</v>
      </c>
      <c r="V183">
        <v>0</v>
      </c>
      <c r="W183" s="17">
        <f>O183-(R183+S183+T183+U183+V183)</f>
        <v>0</v>
      </c>
      <c r="X183" s="2">
        <v>46230</v>
      </c>
      <c r="Y183" s="7" t="s">
        <v>1044</v>
      </c>
    </row>
    <row r="184" spans="1:26" ht="15.75" customHeight="1" x14ac:dyDescent="0.2">
      <c r="A184" t="s">
        <v>86</v>
      </c>
      <c r="B184" t="s">
        <v>87</v>
      </c>
      <c r="C184" t="s">
        <v>1045</v>
      </c>
      <c r="D184" t="s">
        <v>202</v>
      </c>
      <c r="E184" t="s">
        <v>44</v>
      </c>
      <c r="F184" t="s">
        <v>44</v>
      </c>
      <c r="H184" s="7" t="s">
        <v>203</v>
      </c>
      <c r="I184" s="11" t="s">
        <v>204</v>
      </c>
      <c r="J184" s="3" t="s">
        <v>40</v>
      </c>
      <c r="K184">
        <v>1.6</v>
      </c>
      <c r="L184">
        <v>1.6</v>
      </c>
      <c r="M184" s="2">
        <v>45545</v>
      </c>
      <c r="O184">
        <v>1.6</v>
      </c>
      <c r="P184" s="17">
        <v>0.82599999999999996</v>
      </c>
      <c r="Q184" s="17">
        <v>0.82599999999999996</v>
      </c>
      <c r="R184">
        <v>0</v>
      </c>
      <c r="S184" s="17">
        <f t="shared" si="4"/>
        <v>0.82599999999999996</v>
      </c>
      <c r="T184">
        <v>0.81799999999999995</v>
      </c>
      <c r="U184">
        <v>0</v>
      </c>
      <c r="V184">
        <v>0</v>
      </c>
      <c r="W184" s="17">
        <v>0</v>
      </c>
      <c r="X184" s="2">
        <v>46230</v>
      </c>
      <c r="Y184" s="7" t="s">
        <v>1046</v>
      </c>
      <c r="Z184" s="7" t="s">
        <v>1047</v>
      </c>
    </row>
    <row r="185" spans="1:26" ht="15.75" customHeight="1" x14ac:dyDescent="0.2">
      <c r="A185" t="s">
        <v>86</v>
      </c>
      <c r="B185" t="s">
        <v>87</v>
      </c>
      <c r="C185" t="s">
        <v>201</v>
      </c>
      <c r="D185" t="s">
        <v>202</v>
      </c>
      <c r="E185" t="s">
        <v>78</v>
      </c>
      <c r="F185" t="s">
        <v>78</v>
      </c>
      <c r="H185" s="7" t="s">
        <v>515</v>
      </c>
      <c r="I185" s="12" t="s">
        <v>516</v>
      </c>
      <c r="J185" s="3" t="s">
        <v>40</v>
      </c>
      <c r="K185">
        <v>2.6</v>
      </c>
      <c r="L185">
        <v>4</v>
      </c>
      <c r="M185" s="2">
        <v>45912</v>
      </c>
      <c r="O185" s="17">
        <v>2.6</v>
      </c>
      <c r="P185" s="17">
        <v>2.6</v>
      </c>
      <c r="Q185" s="17">
        <v>2.6</v>
      </c>
      <c r="R185">
        <v>1.5089999999999999</v>
      </c>
      <c r="S185">
        <v>1.08</v>
      </c>
      <c r="T185">
        <v>0</v>
      </c>
      <c r="U185">
        <v>0</v>
      </c>
      <c r="V185">
        <v>0</v>
      </c>
      <c r="W185">
        <v>0</v>
      </c>
      <c r="X185" s="2">
        <v>46230</v>
      </c>
    </row>
    <row r="186" spans="1:26" ht="15.75" customHeight="1" x14ac:dyDescent="0.2">
      <c r="A186" t="s">
        <v>86</v>
      </c>
      <c r="B186" t="s">
        <v>101</v>
      </c>
      <c r="C186" t="s">
        <v>370</v>
      </c>
      <c r="D186" t="s">
        <v>371</v>
      </c>
      <c r="E186" t="s">
        <v>44</v>
      </c>
      <c r="F186" t="s">
        <v>44</v>
      </c>
      <c r="H186" s="7" t="s">
        <v>372</v>
      </c>
      <c r="I186" s="11" t="s">
        <v>373</v>
      </c>
      <c r="J186" s="3" t="s">
        <v>91</v>
      </c>
      <c r="K186">
        <v>0.1</v>
      </c>
      <c r="L186">
        <v>0.1</v>
      </c>
      <c r="M186" s="2">
        <v>45926</v>
      </c>
      <c r="O186" s="17">
        <v>0.1</v>
      </c>
      <c r="P186" s="17">
        <v>0.1</v>
      </c>
      <c r="Q186" s="17">
        <v>0.1</v>
      </c>
      <c r="R186">
        <v>0</v>
      </c>
      <c r="S186" s="17">
        <v>9.5000000000000001E-2</v>
      </c>
      <c r="T186">
        <v>0</v>
      </c>
      <c r="U186">
        <v>0</v>
      </c>
      <c r="V186">
        <v>0</v>
      </c>
      <c r="W186" s="17">
        <v>0</v>
      </c>
      <c r="X186" s="2">
        <v>46230</v>
      </c>
      <c r="Y186" t="s">
        <v>1048</v>
      </c>
    </row>
    <row r="187" spans="1:26" ht="15.75" customHeight="1" x14ac:dyDescent="0.2">
      <c r="A187" t="s">
        <v>86</v>
      </c>
      <c r="B187" t="s">
        <v>101</v>
      </c>
      <c r="C187" t="s">
        <v>102</v>
      </c>
      <c r="D187" t="s">
        <v>103</v>
      </c>
      <c r="E187" t="s">
        <v>44</v>
      </c>
      <c r="F187" t="s">
        <v>44</v>
      </c>
      <c r="H187" s="7" t="s">
        <v>104</v>
      </c>
      <c r="I187" s="11" t="s">
        <v>105</v>
      </c>
      <c r="J187" s="3" t="s">
        <v>91</v>
      </c>
      <c r="K187">
        <v>7.4</v>
      </c>
      <c r="L187">
        <v>7.4</v>
      </c>
      <c r="M187" s="2">
        <v>43091</v>
      </c>
      <c r="N187" s="2">
        <v>44347</v>
      </c>
      <c r="O187" s="17">
        <v>0.57899999999999996</v>
      </c>
      <c r="P187" s="17">
        <v>0</v>
      </c>
      <c r="Q187" s="17">
        <v>0</v>
      </c>
      <c r="R187">
        <v>0</v>
      </c>
      <c r="S187" s="17">
        <f t="shared" ref="S187:S200" si="5">Q187-R187</f>
        <v>0</v>
      </c>
      <c r="T187">
        <v>0</v>
      </c>
      <c r="U187">
        <v>0</v>
      </c>
      <c r="V187">
        <v>0</v>
      </c>
      <c r="W187" s="17">
        <f t="shared" ref="W187:W193" si="6">O187-(R187+S187+T187+U187+V187)</f>
        <v>0.57899999999999996</v>
      </c>
      <c r="X187" s="2">
        <v>46230</v>
      </c>
      <c r="Y187" s="7" t="s">
        <v>1049</v>
      </c>
    </row>
    <row r="188" spans="1:26" ht="15.75" customHeight="1" x14ac:dyDescent="0.2">
      <c r="A188" t="s">
        <v>86</v>
      </c>
      <c r="B188" t="s">
        <v>101</v>
      </c>
      <c r="C188" t="s">
        <v>1050</v>
      </c>
      <c r="D188" t="s">
        <v>448</v>
      </c>
      <c r="E188" t="s">
        <v>28</v>
      </c>
      <c r="F188" t="s">
        <v>28</v>
      </c>
      <c r="H188" s="7" t="s">
        <v>479</v>
      </c>
      <c r="I188" s="11" t="s">
        <v>480</v>
      </c>
      <c r="J188" s="3" t="s">
        <v>174</v>
      </c>
      <c r="K188">
        <v>0.42499999999999999</v>
      </c>
      <c r="L188">
        <v>0.42499999999999999</v>
      </c>
      <c r="M188" s="2">
        <v>44454</v>
      </c>
      <c r="N188" s="2">
        <v>44499</v>
      </c>
      <c r="O188">
        <v>0.42499999999999999</v>
      </c>
      <c r="P188" s="17">
        <v>0</v>
      </c>
      <c r="Q188" s="17">
        <v>0</v>
      </c>
      <c r="R188">
        <v>0</v>
      </c>
      <c r="S188" s="17">
        <f t="shared" si="5"/>
        <v>0</v>
      </c>
      <c r="T188">
        <v>0</v>
      </c>
      <c r="U188">
        <v>0</v>
      </c>
      <c r="V188">
        <v>0</v>
      </c>
      <c r="W188" s="17">
        <f t="shared" si="6"/>
        <v>0.42499999999999999</v>
      </c>
      <c r="X188" s="2">
        <v>46230</v>
      </c>
    </row>
    <row r="189" spans="1:26" ht="15.75" customHeight="1" x14ac:dyDescent="0.2">
      <c r="A189" t="s">
        <v>86</v>
      </c>
      <c r="B189" t="s">
        <v>101</v>
      </c>
      <c r="C189" t="s">
        <v>340</v>
      </c>
      <c r="D189" t="s">
        <v>341</v>
      </c>
      <c r="E189" t="s">
        <v>44</v>
      </c>
      <c r="F189" t="s">
        <v>44</v>
      </c>
      <c r="H189" s="7" t="s">
        <v>342</v>
      </c>
      <c r="I189" s="11" t="s">
        <v>343</v>
      </c>
      <c r="J189" s="3" t="s">
        <v>91</v>
      </c>
      <c r="K189">
        <v>0.09</v>
      </c>
      <c r="L189">
        <v>0.09</v>
      </c>
      <c r="M189" s="2">
        <v>45170</v>
      </c>
      <c r="N189" s="2">
        <v>45260</v>
      </c>
      <c r="O189">
        <v>0.09</v>
      </c>
      <c r="P189" s="17">
        <v>0</v>
      </c>
      <c r="Q189" s="17">
        <v>0</v>
      </c>
      <c r="R189">
        <v>0</v>
      </c>
      <c r="S189" s="17">
        <f t="shared" si="5"/>
        <v>0</v>
      </c>
      <c r="T189">
        <v>0</v>
      </c>
      <c r="U189">
        <v>0.09</v>
      </c>
      <c r="V189">
        <v>0</v>
      </c>
      <c r="W189" s="17">
        <f t="shared" si="6"/>
        <v>0</v>
      </c>
      <c r="X189" s="2">
        <v>46230</v>
      </c>
    </row>
    <row r="190" spans="1:26" ht="15.75" customHeight="1" x14ac:dyDescent="0.2">
      <c r="A190" t="s">
        <v>86</v>
      </c>
      <c r="B190" t="s">
        <v>101</v>
      </c>
      <c r="C190" t="s">
        <v>340</v>
      </c>
      <c r="D190" t="s">
        <v>341</v>
      </c>
      <c r="E190" t="s">
        <v>44</v>
      </c>
      <c r="F190" t="s">
        <v>44</v>
      </c>
      <c r="H190" s="7" t="s">
        <v>467</v>
      </c>
      <c r="I190" s="11" t="s">
        <v>468</v>
      </c>
      <c r="J190" s="3" t="s">
        <v>91</v>
      </c>
      <c r="K190">
        <v>0.25</v>
      </c>
      <c r="L190">
        <v>0.25</v>
      </c>
      <c r="M190" s="2">
        <v>45170</v>
      </c>
      <c r="N190" s="2">
        <v>45260</v>
      </c>
      <c r="O190">
        <v>0.25</v>
      </c>
      <c r="P190" s="17">
        <v>0</v>
      </c>
      <c r="Q190" s="17">
        <v>0</v>
      </c>
      <c r="R190">
        <v>0</v>
      </c>
      <c r="S190" s="17">
        <f t="shared" si="5"/>
        <v>0</v>
      </c>
      <c r="T190">
        <v>0</v>
      </c>
      <c r="U190">
        <v>0.25</v>
      </c>
      <c r="V190">
        <v>0</v>
      </c>
      <c r="W190" s="17">
        <f t="shared" si="6"/>
        <v>0</v>
      </c>
      <c r="X190" s="2">
        <v>46230</v>
      </c>
    </row>
    <row r="191" spans="1:26" ht="15.75" customHeight="1" x14ac:dyDescent="0.2">
      <c r="A191" t="s">
        <v>86</v>
      </c>
      <c r="B191" t="s">
        <v>101</v>
      </c>
      <c r="C191" t="s">
        <v>340</v>
      </c>
      <c r="D191" t="s">
        <v>341</v>
      </c>
      <c r="E191" t="s">
        <v>44</v>
      </c>
      <c r="F191" t="s">
        <v>44</v>
      </c>
      <c r="H191" s="7" t="s">
        <v>469</v>
      </c>
      <c r="I191" s="11" t="s">
        <v>470</v>
      </c>
      <c r="J191" s="3" t="s">
        <v>91</v>
      </c>
      <c r="K191">
        <v>0.04</v>
      </c>
      <c r="L191">
        <v>0.04</v>
      </c>
      <c r="M191" s="2">
        <v>45540</v>
      </c>
      <c r="N191" s="2">
        <v>45631</v>
      </c>
      <c r="O191">
        <v>0.04</v>
      </c>
      <c r="P191" s="17">
        <v>0</v>
      </c>
      <c r="Q191" s="17">
        <v>0</v>
      </c>
      <c r="R191">
        <v>0</v>
      </c>
      <c r="S191" s="17">
        <f t="shared" si="5"/>
        <v>0</v>
      </c>
      <c r="T191">
        <v>0.04</v>
      </c>
      <c r="U191">
        <v>0</v>
      </c>
      <c r="V191">
        <v>0</v>
      </c>
      <c r="W191" s="17">
        <f t="shared" si="6"/>
        <v>0</v>
      </c>
      <c r="X191" s="2">
        <v>46230</v>
      </c>
    </row>
    <row r="192" spans="1:26" ht="15.75" customHeight="1" x14ac:dyDescent="0.2">
      <c r="A192" t="s">
        <v>86</v>
      </c>
      <c r="B192" t="s">
        <v>101</v>
      </c>
      <c r="C192" t="s">
        <v>340</v>
      </c>
      <c r="D192" t="s">
        <v>341</v>
      </c>
      <c r="E192" t="s">
        <v>28</v>
      </c>
      <c r="F192" t="s">
        <v>28</v>
      </c>
      <c r="H192" s="7" t="s">
        <v>471</v>
      </c>
      <c r="I192" s="11" t="s">
        <v>472</v>
      </c>
      <c r="J192" s="3" t="s">
        <v>91</v>
      </c>
      <c r="K192">
        <v>2.5000000000000001E-2</v>
      </c>
      <c r="L192">
        <v>2.5000000000000001E-2</v>
      </c>
      <c r="M192" s="2">
        <v>45810</v>
      </c>
      <c r="N192" s="2">
        <v>45897</v>
      </c>
      <c r="O192" s="17">
        <v>2.5000000000000001E-2</v>
      </c>
      <c r="P192" s="17">
        <v>2.5000000000000001E-2</v>
      </c>
      <c r="Q192" s="17">
        <v>2.5000000000000001E-2</v>
      </c>
      <c r="R192">
        <v>0</v>
      </c>
      <c r="S192" s="17">
        <f t="shared" si="5"/>
        <v>2.5000000000000001E-2</v>
      </c>
      <c r="T192">
        <v>0</v>
      </c>
      <c r="U192">
        <v>0</v>
      </c>
      <c r="V192">
        <v>0</v>
      </c>
      <c r="W192" s="17">
        <f t="shared" si="6"/>
        <v>0</v>
      </c>
      <c r="X192" s="2">
        <v>46230</v>
      </c>
    </row>
    <row r="193" spans="1:29" ht="15.75" customHeight="1" x14ac:dyDescent="0.2">
      <c r="A193" t="s">
        <v>86</v>
      </c>
      <c r="B193" t="s">
        <v>101</v>
      </c>
      <c r="C193" t="s">
        <v>364</v>
      </c>
      <c r="D193" t="s">
        <v>364</v>
      </c>
      <c r="E193" t="s">
        <v>28</v>
      </c>
      <c r="F193" t="s">
        <v>28</v>
      </c>
      <c r="H193" s="7" t="s">
        <v>365</v>
      </c>
      <c r="I193" s="11" t="s">
        <v>366</v>
      </c>
      <c r="J193" s="3" t="s">
        <v>40</v>
      </c>
      <c r="K193">
        <v>0.253</v>
      </c>
      <c r="L193">
        <v>0.253</v>
      </c>
      <c r="M193" s="2">
        <v>45413</v>
      </c>
      <c r="N193" s="2">
        <v>45747</v>
      </c>
      <c r="O193" s="17">
        <v>0.253</v>
      </c>
      <c r="P193" s="17">
        <v>-0.20899999999999999</v>
      </c>
      <c r="Q193" s="17">
        <v>-0.20899999999999999</v>
      </c>
      <c r="R193">
        <v>0</v>
      </c>
      <c r="S193" s="17">
        <f t="shared" si="5"/>
        <v>-0.20899999999999999</v>
      </c>
      <c r="T193">
        <v>0.46200000000000002</v>
      </c>
      <c r="U193">
        <v>0</v>
      </c>
      <c r="V193">
        <v>0</v>
      </c>
      <c r="W193" s="17">
        <f t="shared" si="6"/>
        <v>0</v>
      </c>
      <c r="X193" s="2">
        <v>46230</v>
      </c>
    </row>
    <row r="194" spans="1:29" ht="15.75" customHeight="1" x14ac:dyDescent="0.2">
      <c r="A194" t="s">
        <v>86</v>
      </c>
      <c r="B194" t="s">
        <v>286</v>
      </c>
      <c r="C194" t="s">
        <v>186</v>
      </c>
      <c r="D194" t="s">
        <v>287</v>
      </c>
      <c r="E194" t="s">
        <v>28</v>
      </c>
      <c r="F194" t="s">
        <v>28</v>
      </c>
      <c r="H194" s="7" t="s">
        <v>288</v>
      </c>
      <c r="I194" s="11" t="s">
        <v>289</v>
      </c>
      <c r="J194" s="3" t="s">
        <v>228</v>
      </c>
      <c r="K194">
        <v>1.1000000000000001</v>
      </c>
      <c r="L194">
        <v>1.3220000000000001</v>
      </c>
      <c r="M194" s="2">
        <v>44713</v>
      </c>
      <c r="O194">
        <v>1.1299999999999999</v>
      </c>
      <c r="P194" s="17">
        <v>0.29799999999999999</v>
      </c>
      <c r="Q194" s="17">
        <v>0.29799999999999999</v>
      </c>
      <c r="R194">
        <v>8.7999999999999995E-2</v>
      </c>
      <c r="S194" s="17">
        <f t="shared" si="5"/>
        <v>0.21</v>
      </c>
      <c r="T194">
        <f>0.02+0.072+0.056</f>
        <v>0.14799999999999999</v>
      </c>
      <c r="U194">
        <v>0.25800000000000001</v>
      </c>
      <c r="V194">
        <f>0.383+0.042</f>
        <v>0.42499999999999999</v>
      </c>
      <c r="W194" s="17">
        <v>0</v>
      </c>
      <c r="X194" s="2">
        <v>46230</v>
      </c>
      <c r="Y194" s="7" t="s">
        <v>1051</v>
      </c>
    </row>
    <row r="195" spans="1:29" ht="15.75" customHeight="1" x14ac:dyDescent="0.2">
      <c r="A195" t="s">
        <v>86</v>
      </c>
      <c r="B195" t="s">
        <v>286</v>
      </c>
      <c r="C195" t="s">
        <v>367</v>
      </c>
      <c r="D195" t="s">
        <v>367</v>
      </c>
      <c r="E195" t="s">
        <v>28</v>
      </c>
      <c r="F195" t="s">
        <v>28</v>
      </c>
      <c r="H195" s="7" t="s">
        <v>368</v>
      </c>
      <c r="I195" s="11" t="s">
        <v>369</v>
      </c>
      <c r="J195" s="3" t="s">
        <v>91</v>
      </c>
      <c r="K195">
        <v>0.25</v>
      </c>
      <c r="L195">
        <v>0.25</v>
      </c>
      <c r="M195" s="2">
        <v>44771</v>
      </c>
      <c r="N195" s="2">
        <v>44915</v>
      </c>
      <c r="O195">
        <v>0.25</v>
      </c>
      <c r="P195" s="17">
        <v>0</v>
      </c>
      <c r="Q195" s="17">
        <v>0</v>
      </c>
      <c r="R195">
        <v>0</v>
      </c>
      <c r="S195" s="17">
        <f t="shared" si="5"/>
        <v>0</v>
      </c>
      <c r="T195">
        <v>0</v>
      </c>
      <c r="U195">
        <v>0</v>
      </c>
      <c r="V195">
        <v>0.25</v>
      </c>
      <c r="W195" s="17">
        <f>O195-(R195+S195+T195+U195+V195)</f>
        <v>0</v>
      </c>
      <c r="X195" s="2">
        <v>46230</v>
      </c>
    </row>
    <row r="196" spans="1:29" ht="15.75" customHeight="1" x14ac:dyDescent="0.2">
      <c r="A196" t="s">
        <v>74</v>
      </c>
      <c r="B196" t="s">
        <v>75</v>
      </c>
      <c r="C196" t="s">
        <v>76</v>
      </c>
      <c r="D196" t="s">
        <v>77</v>
      </c>
      <c r="E196" t="s">
        <v>78</v>
      </c>
      <c r="F196" t="s">
        <v>78</v>
      </c>
      <c r="H196" s="7" t="s">
        <v>79</v>
      </c>
      <c r="I196" s="11" t="s">
        <v>80</v>
      </c>
      <c r="J196" s="3" t="s">
        <v>31</v>
      </c>
      <c r="K196">
        <v>0.09</v>
      </c>
      <c r="L196">
        <v>0.09</v>
      </c>
      <c r="M196" s="2">
        <v>44770</v>
      </c>
      <c r="N196" s="2">
        <v>45134</v>
      </c>
      <c r="O196" s="17">
        <v>0.09</v>
      </c>
      <c r="P196" s="17">
        <v>0</v>
      </c>
      <c r="Q196" s="17">
        <v>0</v>
      </c>
      <c r="R196">
        <v>0</v>
      </c>
      <c r="S196" s="17">
        <f t="shared" si="5"/>
        <v>0</v>
      </c>
      <c r="T196">
        <v>0</v>
      </c>
      <c r="U196">
        <v>0</v>
      </c>
      <c r="V196">
        <v>0.09</v>
      </c>
      <c r="W196" s="17">
        <f>O196-(R196+S196+T196+U196+V196)</f>
        <v>0</v>
      </c>
      <c r="X196" s="2">
        <v>46230</v>
      </c>
      <c r="Z196" s="17"/>
      <c r="AA196" s="17"/>
    </row>
    <row r="197" spans="1:29" ht="15.75" customHeight="1" x14ac:dyDescent="0.2">
      <c r="A197" t="s">
        <v>74</v>
      </c>
      <c r="B197" t="s">
        <v>75</v>
      </c>
      <c r="C197" t="s">
        <v>76</v>
      </c>
      <c r="D197" t="s">
        <v>77</v>
      </c>
      <c r="E197" t="s">
        <v>78</v>
      </c>
      <c r="F197" t="s">
        <v>78</v>
      </c>
      <c r="H197" s="7" t="s">
        <v>786</v>
      </c>
      <c r="I197" s="11" t="s">
        <v>787</v>
      </c>
      <c r="J197" s="3" t="s">
        <v>31</v>
      </c>
      <c r="K197">
        <v>0.93500000000000005</v>
      </c>
      <c r="L197">
        <v>0.93500000000000005</v>
      </c>
      <c r="M197" s="2">
        <v>44783</v>
      </c>
      <c r="N197" s="2">
        <v>45178</v>
      </c>
      <c r="O197" s="17">
        <v>0.93500000000000005</v>
      </c>
      <c r="P197" s="17">
        <v>0</v>
      </c>
      <c r="Q197" s="17">
        <v>0</v>
      </c>
      <c r="R197">
        <v>0</v>
      </c>
      <c r="S197" s="17">
        <f t="shared" si="5"/>
        <v>0</v>
      </c>
      <c r="T197">
        <v>0</v>
      </c>
      <c r="U197">
        <v>0</v>
      </c>
      <c r="V197">
        <v>0.93500000000000005</v>
      </c>
      <c r="W197" s="17">
        <f>O197-(R197+S197+T197+U197+V197)</f>
        <v>0</v>
      </c>
      <c r="X197" s="2">
        <v>46230</v>
      </c>
    </row>
    <row r="198" spans="1:29" s="25" customFormat="1" ht="15.75" customHeight="1" x14ac:dyDescent="0.2">
      <c r="A198" t="s">
        <v>74</v>
      </c>
      <c r="B198" t="s">
        <v>75</v>
      </c>
      <c r="C198" t="s">
        <v>76</v>
      </c>
      <c r="D198" t="s">
        <v>77</v>
      </c>
      <c r="E198" t="s">
        <v>78</v>
      </c>
      <c r="F198" t="s">
        <v>78</v>
      </c>
      <c r="G198"/>
      <c r="H198" s="7" t="s">
        <v>788</v>
      </c>
      <c r="I198" s="11" t="s">
        <v>789</v>
      </c>
      <c r="J198" s="3" t="s">
        <v>31</v>
      </c>
      <c r="K198">
        <v>3.4</v>
      </c>
      <c r="L198">
        <v>3.4</v>
      </c>
      <c r="M198" s="2">
        <v>45061</v>
      </c>
      <c r="N198" s="2">
        <v>45878</v>
      </c>
      <c r="O198">
        <v>3.4</v>
      </c>
      <c r="P198" s="17">
        <v>0</v>
      </c>
      <c r="Q198" s="17">
        <v>0</v>
      </c>
      <c r="R198">
        <v>0</v>
      </c>
      <c r="S198" s="17">
        <f t="shared" si="5"/>
        <v>0</v>
      </c>
      <c r="T198">
        <v>0.89400000000000002</v>
      </c>
      <c r="U198">
        <v>2.5379999999999998</v>
      </c>
      <c r="V198">
        <v>0</v>
      </c>
      <c r="W198" s="17">
        <v>0</v>
      </c>
      <c r="X198" s="2">
        <v>46230</v>
      </c>
      <c r="Y198"/>
      <c r="Z198"/>
      <c r="AA198"/>
      <c r="AB198"/>
      <c r="AC198"/>
    </row>
    <row r="199" spans="1:29" s="25" customFormat="1" ht="15.75" customHeight="1" x14ac:dyDescent="0.2">
      <c r="A199" t="s">
        <v>74</v>
      </c>
      <c r="B199" t="s">
        <v>75</v>
      </c>
      <c r="C199" t="s">
        <v>76</v>
      </c>
      <c r="D199" t="s">
        <v>77</v>
      </c>
      <c r="E199" t="s">
        <v>78</v>
      </c>
      <c r="F199" t="s">
        <v>78</v>
      </c>
      <c r="G199"/>
      <c r="H199" s="7" t="s">
        <v>790</v>
      </c>
      <c r="I199" s="11" t="s">
        <v>791</v>
      </c>
      <c r="J199" s="3" t="s">
        <v>31</v>
      </c>
      <c r="K199">
        <v>0.875</v>
      </c>
      <c r="L199">
        <v>0.875</v>
      </c>
      <c r="M199" s="2">
        <v>45363</v>
      </c>
      <c r="N199"/>
      <c r="O199" s="17">
        <v>0.875</v>
      </c>
      <c r="P199" s="17">
        <v>0.438</v>
      </c>
      <c r="Q199" s="17">
        <v>0.438</v>
      </c>
      <c r="R199">
        <v>0</v>
      </c>
      <c r="S199" s="17">
        <f t="shared" si="5"/>
        <v>0.438</v>
      </c>
      <c r="T199">
        <v>0.437</v>
      </c>
      <c r="U199">
        <v>0</v>
      </c>
      <c r="V199">
        <v>0</v>
      </c>
      <c r="W199" s="17">
        <f>O199-(R199+S199+T199+U199+V199)</f>
        <v>0</v>
      </c>
      <c r="X199" s="2">
        <v>46230</v>
      </c>
      <c r="Y199"/>
      <c r="Z199"/>
      <c r="AA199"/>
      <c r="AB199"/>
      <c r="AC199"/>
    </row>
    <row r="200" spans="1:29" ht="15.75" customHeight="1" x14ac:dyDescent="0.2">
      <c r="A200" t="s">
        <v>74</v>
      </c>
      <c r="B200" t="s">
        <v>75</v>
      </c>
      <c r="C200" t="s">
        <v>76</v>
      </c>
      <c r="D200" t="s">
        <v>77</v>
      </c>
      <c r="E200" t="s">
        <v>78</v>
      </c>
      <c r="F200" t="s">
        <v>78</v>
      </c>
      <c r="H200" s="7" t="s">
        <v>792</v>
      </c>
      <c r="I200" s="11" t="s">
        <v>793</v>
      </c>
      <c r="J200" s="3" t="s">
        <v>31</v>
      </c>
      <c r="K200">
        <v>4.5</v>
      </c>
      <c r="L200">
        <v>4.5</v>
      </c>
      <c r="M200" s="2">
        <v>44834</v>
      </c>
      <c r="O200">
        <v>4.5</v>
      </c>
      <c r="P200" s="17">
        <v>1.333</v>
      </c>
      <c r="Q200" s="17">
        <v>1.333</v>
      </c>
      <c r="R200">
        <v>0</v>
      </c>
      <c r="S200" s="17">
        <f t="shared" si="5"/>
        <v>1.333</v>
      </c>
      <c r="T200">
        <v>1.157</v>
      </c>
      <c r="U200">
        <v>1.1180000000000001</v>
      </c>
      <c r="V200">
        <v>0.9</v>
      </c>
      <c r="W200" s="17">
        <v>0</v>
      </c>
      <c r="X200" s="2">
        <v>46230</v>
      </c>
    </row>
    <row r="201" spans="1:29" ht="15.75" customHeight="1" x14ac:dyDescent="0.2">
      <c r="A201" t="s">
        <v>74</v>
      </c>
      <c r="B201" t="s">
        <v>378</v>
      </c>
      <c r="C201" t="s">
        <v>76</v>
      </c>
      <c r="D201" t="s">
        <v>77</v>
      </c>
      <c r="E201" t="s">
        <v>78</v>
      </c>
      <c r="F201" t="s">
        <v>78</v>
      </c>
      <c r="H201" s="7" t="s">
        <v>834</v>
      </c>
      <c r="I201" s="12" t="s">
        <v>835</v>
      </c>
      <c r="J201" s="3" t="s">
        <v>40</v>
      </c>
      <c r="K201">
        <v>3.8</v>
      </c>
      <c r="L201">
        <v>3.8</v>
      </c>
      <c r="M201" s="2">
        <v>46177</v>
      </c>
      <c r="O201" s="17">
        <v>3.8</v>
      </c>
      <c r="P201" s="17">
        <v>3.8</v>
      </c>
      <c r="Q201" s="17">
        <v>3.8</v>
      </c>
      <c r="R201">
        <v>3.8</v>
      </c>
      <c r="S201">
        <v>0</v>
      </c>
      <c r="T201">
        <v>0</v>
      </c>
      <c r="U201">
        <v>0</v>
      </c>
      <c r="V201">
        <v>0</v>
      </c>
      <c r="W201">
        <v>0</v>
      </c>
      <c r="X201" s="2">
        <v>46230</v>
      </c>
      <c r="Y201" s="22"/>
    </row>
    <row r="202" spans="1:29" s="25" customFormat="1" ht="15.75" customHeight="1" x14ac:dyDescent="0.2">
      <c r="A202" t="s">
        <v>74</v>
      </c>
      <c r="B202" t="s">
        <v>75</v>
      </c>
      <c r="C202" t="s">
        <v>76</v>
      </c>
      <c r="D202" t="s">
        <v>77</v>
      </c>
      <c r="E202" t="s">
        <v>44</v>
      </c>
      <c r="F202" t="s">
        <v>44</v>
      </c>
      <c r="G202"/>
      <c r="H202" s="7" t="s">
        <v>794</v>
      </c>
      <c r="I202" s="11" t="s">
        <v>795</v>
      </c>
      <c r="J202" s="3" t="s">
        <v>228</v>
      </c>
      <c r="K202">
        <v>34.5</v>
      </c>
      <c r="L202">
        <v>35.5</v>
      </c>
      <c r="M202" s="2">
        <v>43720</v>
      </c>
      <c r="N202" s="2">
        <v>45546</v>
      </c>
      <c r="O202" s="17">
        <v>26.606000000000002</v>
      </c>
      <c r="P202" s="17">
        <v>0</v>
      </c>
      <c r="Q202" s="17">
        <v>0</v>
      </c>
      <c r="R202">
        <v>0</v>
      </c>
      <c r="S202" s="17">
        <f t="shared" ref="S202:S224" si="7">Q202-R202</f>
        <v>0</v>
      </c>
      <c r="T202">
        <v>9.5990000000000002</v>
      </c>
      <c r="U202">
        <v>6.3520000000000003</v>
      </c>
      <c r="V202">
        <v>5.1219999999999999</v>
      </c>
      <c r="W202" s="17">
        <f t="shared" ref="W202:W209" si="8">O202-(R202+S202+T202+U202+V202)</f>
        <v>5.5330000000000013</v>
      </c>
      <c r="X202" s="2">
        <v>46230</v>
      </c>
      <c r="Y202"/>
      <c r="Z202"/>
      <c r="AA202"/>
      <c r="AB202"/>
      <c r="AC202"/>
    </row>
    <row r="203" spans="1:29" ht="15.75" customHeight="1" x14ac:dyDescent="0.2">
      <c r="A203" t="s">
        <v>74</v>
      </c>
      <c r="B203" t="s">
        <v>75</v>
      </c>
      <c r="C203" t="s">
        <v>76</v>
      </c>
      <c r="D203" t="s">
        <v>77</v>
      </c>
      <c r="E203" t="s">
        <v>28</v>
      </c>
      <c r="F203" t="s">
        <v>28</v>
      </c>
      <c r="H203" s="7" t="s">
        <v>796</v>
      </c>
      <c r="I203" s="11" t="s">
        <v>797</v>
      </c>
      <c r="J203" s="3" t="s">
        <v>91</v>
      </c>
      <c r="K203">
        <v>0.72299999999999998</v>
      </c>
      <c r="L203">
        <v>0.72299999999999998</v>
      </c>
      <c r="M203" s="2">
        <v>44099</v>
      </c>
      <c r="N203" s="2">
        <v>44467</v>
      </c>
      <c r="O203" s="17">
        <v>2.4E-2</v>
      </c>
      <c r="P203" s="17">
        <v>0</v>
      </c>
      <c r="Q203" s="17">
        <v>0</v>
      </c>
      <c r="R203">
        <v>0</v>
      </c>
      <c r="S203" s="17">
        <f t="shared" si="7"/>
        <v>0</v>
      </c>
      <c r="T203">
        <v>0</v>
      </c>
      <c r="U203">
        <v>0</v>
      </c>
      <c r="V203">
        <v>0</v>
      </c>
      <c r="W203" s="17">
        <f t="shared" si="8"/>
        <v>2.4E-2</v>
      </c>
      <c r="X203" s="2">
        <v>46230</v>
      </c>
    </row>
    <row r="204" spans="1:29" ht="15.75" customHeight="1" x14ac:dyDescent="0.2">
      <c r="A204" t="s">
        <v>74</v>
      </c>
      <c r="B204" t="s">
        <v>75</v>
      </c>
      <c r="C204" t="s">
        <v>76</v>
      </c>
      <c r="D204" t="s">
        <v>77</v>
      </c>
      <c r="E204" t="s">
        <v>78</v>
      </c>
      <c r="F204" t="s">
        <v>78</v>
      </c>
      <c r="H204" s="7" t="s">
        <v>798</v>
      </c>
      <c r="I204" s="11" t="s">
        <v>799</v>
      </c>
      <c r="J204" s="3" t="s">
        <v>91</v>
      </c>
      <c r="K204">
        <v>0.81599999999999995</v>
      </c>
      <c r="L204">
        <v>1</v>
      </c>
      <c r="M204" s="2">
        <v>44377</v>
      </c>
      <c r="N204" s="2">
        <v>44833</v>
      </c>
      <c r="O204" s="17">
        <v>0.81599999999999995</v>
      </c>
      <c r="P204" s="17">
        <v>0</v>
      </c>
      <c r="Q204" s="17">
        <v>0</v>
      </c>
      <c r="R204">
        <v>0</v>
      </c>
      <c r="S204" s="17">
        <f t="shared" si="7"/>
        <v>0</v>
      </c>
      <c r="T204">
        <v>0</v>
      </c>
      <c r="U204">
        <v>0</v>
      </c>
      <c r="V204">
        <v>0</v>
      </c>
      <c r="W204" s="17">
        <f t="shared" si="8"/>
        <v>0.81599999999999995</v>
      </c>
      <c r="X204" s="2">
        <v>46230</v>
      </c>
    </row>
    <row r="205" spans="1:29" ht="15.75" customHeight="1" x14ac:dyDescent="0.2">
      <c r="A205" t="s">
        <v>74</v>
      </c>
      <c r="B205" t="s">
        <v>75</v>
      </c>
      <c r="C205" t="s">
        <v>76</v>
      </c>
      <c r="D205" t="s">
        <v>77</v>
      </c>
      <c r="E205" t="s">
        <v>78</v>
      </c>
      <c r="F205" t="s">
        <v>78</v>
      </c>
      <c r="H205" s="7" t="s">
        <v>800</v>
      </c>
      <c r="I205" s="11" t="s">
        <v>801</v>
      </c>
      <c r="J205" s="3" t="s">
        <v>91</v>
      </c>
      <c r="K205">
        <v>0.81499999999999995</v>
      </c>
      <c r="L205">
        <v>0.81499999999999995</v>
      </c>
      <c r="M205" s="2">
        <v>44378</v>
      </c>
      <c r="N205" s="2">
        <v>44840</v>
      </c>
      <c r="O205" s="17">
        <v>0.81499999999999995</v>
      </c>
      <c r="P205" s="17">
        <v>0</v>
      </c>
      <c r="Q205" s="17">
        <v>0</v>
      </c>
      <c r="R205">
        <v>0</v>
      </c>
      <c r="S205" s="17">
        <f t="shared" si="7"/>
        <v>0</v>
      </c>
      <c r="T205">
        <v>0</v>
      </c>
      <c r="U205">
        <v>0</v>
      </c>
      <c r="V205">
        <v>0</v>
      </c>
      <c r="W205" s="17">
        <f t="shared" si="8"/>
        <v>0.81499999999999995</v>
      </c>
      <c r="X205" s="2">
        <v>46230</v>
      </c>
    </row>
    <row r="206" spans="1:29" ht="15.75" customHeight="1" x14ac:dyDescent="0.2">
      <c r="A206" t="s">
        <v>74</v>
      </c>
      <c r="B206" t="s">
        <v>75</v>
      </c>
      <c r="C206" t="s">
        <v>76</v>
      </c>
      <c r="D206" t="s">
        <v>77</v>
      </c>
      <c r="E206" t="s">
        <v>44</v>
      </c>
      <c r="F206" t="s">
        <v>44</v>
      </c>
      <c r="H206" s="7" t="s">
        <v>802</v>
      </c>
      <c r="I206" s="11" t="s">
        <v>776</v>
      </c>
      <c r="J206" s="3" t="s">
        <v>91</v>
      </c>
      <c r="K206">
        <v>0.14499999999999999</v>
      </c>
      <c r="L206">
        <v>0.14499999999999999</v>
      </c>
      <c r="M206" s="2">
        <v>44819</v>
      </c>
      <c r="N206" s="2">
        <v>45183</v>
      </c>
      <c r="O206" s="17">
        <v>0.14499999999999999</v>
      </c>
      <c r="P206" s="17">
        <v>0</v>
      </c>
      <c r="Q206" s="17">
        <v>0</v>
      </c>
      <c r="R206">
        <v>0</v>
      </c>
      <c r="S206" s="17">
        <f t="shared" si="7"/>
        <v>0</v>
      </c>
      <c r="T206">
        <v>0</v>
      </c>
      <c r="U206">
        <v>0</v>
      </c>
      <c r="V206">
        <v>0.14499999999999999</v>
      </c>
      <c r="W206" s="17">
        <f t="shared" si="8"/>
        <v>0</v>
      </c>
      <c r="X206" s="2">
        <v>46230</v>
      </c>
    </row>
    <row r="207" spans="1:29" ht="15.75" customHeight="1" x14ac:dyDescent="0.2">
      <c r="A207" t="s">
        <v>74</v>
      </c>
      <c r="B207" t="s">
        <v>75</v>
      </c>
      <c r="C207" t="s">
        <v>76</v>
      </c>
      <c r="D207" t="s">
        <v>77</v>
      </c>
      <c r="E207" t="s">
        <v>78</v>
      </c>
      <c r="F207" t="s">
        <v>78</v>
      </c>
      <c r="H207" s="7" t="s">
        <v>803</v>
      </c>
      <c r="I207" s="11" t="s">
        <v>804</v>
      </c>
      <c r="J207" s="3" t="s">
        <v>91</v>
      </c>
      <c r="K207">
        <v>0.3</v>
      </c>
      <c r="L207">
        <v>0.3</v>
      </c>
      <c r="M207" s="2">
        <v>44820</v>
      </c>
      <c r="N207" s="2">
        <v>45184</v>
      </c>
      <c r="O207" s="17">
        <v>0.3</v>
      </c>
      <c r="P207" s="17">
        <v>0</v>
      </c>
      <c r="Q207" s="17">
        <v>0</v>
      </c>
      <c r="R207">
        <v>0</v>
      </c>
      <c r="S207" s="17">
        <f t="shared" si="7"/>
        <v>0</v>
      </c>
      <c r="T207">
        <v>0</v>
      </c>
      <c r="U207">
        <v>0</v>
      </c>
      <c r="V207">
        <v>0.3</v>
      </c>
      <c r="W207" s="17">
        <f t="shared" si="8"/>
        <v>0</v>
      </c>
      <c r="X207" s="2">
        <v>46230</v>
      </c>
    </row>
    <row r="208" spans="1:29" ht="15.75" customHeight="1" x14ac:dyDescent="0.2">
      <c r="A208" t="s">
        <v>74</v>
      </c>
      <c r="B208" t="s">
        <v>75</v>
      </c>
      <c r="C208" t="s">
        <v>76</v>
      </c>
      <c r="D208" t="s">
        <v>77</v>
      </c>
      <c r="E208" t="s">
        <v>44</v>
      </c>
      <c r="F208" t="s">
        <v>44</v>
      </c>
      <c r="H208" s="7" t="s">
        <v>805</v>
      </c>
      <c r="I208" s="11" t="s">
        <v>806</v>
      </c>
      <c r="J208" s="3" t="s">
        <v>91</v>
      </c>
      <c r="K208">
        <v>1.9E-2</v>
      </c>
      <c r="L208">
        <v>1.9E-2</v>
      </c>
      <c r="M208" s="2">
        <v>45071</v>
      </c>
      <c r="N208" s="2">
        <v>45436</v>
      </c>
      <c r="O208" s="17">
        <v>1.9E-2</v>
      </c>
      <c r="P208" s="17">
        <v>0</v>
      </c>
      <c r="Q208" s="17">
        <v>0</v>
      </c>
      <c r="R208">
        <v>0</v>
      </c>
      <c r="S208" s="17">
        <f t="shared" si="7"/>
        <v>0</v>
      </c>
      <c r="T208">
        <v>0</v>
      </c>
      <c r="U208">
        <v>1.9E-2</v>
      </c>
      <c r="V208">
        <v>0</v>
      </c>
      <c r="W208" s="17">
        <f t="shared" si="8"/>
        <v>0</v>
      </c>
      <c r="X208" s="2">
        <v>46230</v>
      </c>
    </row>
    <row r="209" spans="1:28" ht="15.75" customHeight="1" x14ac:dyDescent="0.2">
      <c r="A209" t="s">
        <v>74</v>
      </c>
      <c r="B209" t="s">
        <v>75</v>
      </c>
      <c r="C209" t="s">
        <v>76</v>
      </c>
      <c r="D209" t="s">
        <v>77</v>
      </c>
      <c r="E209" t="s">
        <v>28</v>
      </c>
      <c r="F209" t="s">
        <v>28</v>
      </c>
      <c r="H209" s="7" t="s">
        <v>807</v>
      </c>
      <c r="I209" s="11" t="s">
        <v>808</v>
      </c>
      <c r="J209" s="3" t="s">
        <v>91</v>
      </c>
      <c r="K209">
        <v>0.20100000000000001</v>
      </c>
      <c r="L209">
        <v>0.20100000000000001</v>
      </c>
      <c r="M209" s="2">
        <v>45141</v>
      </c>
      <c r="N209" s="2">
        <v>45564</v>
      </c>
      <c r="O209" s="17">
        <v>0.20100000000000001</v>
      </c>
      <c r="P209" s="17">
        <v>0</v>
      </c>
      <c r="Q209" s="17">
        <v>0</v>
      </c>
      <c r="R209">
        <v>0</v>
      </c>
      <c r="S209" s="17">
        <f t="shared" si="7"/>
        <v>0</v>
      </c>
      <c r="T209">
        <v>0</v>
      </c>
      <c r="U209">
        <v>0.20100000000000001</v>
      </c>
      <c r="V209">
        <v>0</v>
      </c>
      <c r="W209" s="17">
        <f t="shared" si="8"/>
        <v>0</v>
      </c>
      <c r="X209" s="2">
        <v>46230</v>
      </c>
    </row>
    <row r="210" spans="1:28" ht="15.75" customHeight="1" x14ac:dyDescent="0.2">
      <c r="A210" t="s">
        <v>74</v>
      </c>
      <c r="B210" t="s">
        <v>75</v>
      </c>
      <c r="C210" t="s">
        <v>76</v>
      </c>
      <c r="D210" t="s">
        <v>77</v>
      </c>
      <c r="E210" t="s">
        <v>28</v>
      </c>
      <c r="F210" t="s">
        <v>28</v>
      </c>
      <c r="H210" s="7" t="s">
        <v>809</v>
      </c>
      <c r="I210" s="11" t="s">
        <v>810</v>
      </c>
      <c r="J210" s="3" t="s">
        <v>91</v>
      </c>
      <c r="K210">
        <v>0.20200000000000001</v>
      </c>
      <c r="L210">
        <v>0.20200000000000001</v>
      </c>
      <c r="M210" s="2">
        <v>45199</v>
      </c>
      <c r="N210" s="2">
        <v>45564</v>
      </c>
      <c r="O210" s="17">
        <v>0.20200000000000001</v>
      </c>
      <c r="P210" s="17">
        <v>0</v>
      </c>
      <c r="Q210" s="17">
        <v>0</v>
      </c>
      <c r="R210">
        <v>0</v>
      </c>
      <c r="S210" s="17">
        <f t="shared" si="7"/>
        <v>0</v>
      </c>
      <c r="T210">
        <v>0</v>
      </c>
      <c r="U210">
        <v>0.20200000000000001</v>
      </c>
      <c r="V210">
        <v>0</v>
      </c>
      <c r="W210" s="17">
        <v>0</v>
      </c>
      <c r="X210" s="2">
        <v>46230</v>
      </c>
    </row>
    <row r="211" spans="1:28" ht="15.75" customHeight="1" x14ac:dyDescent="0.2">
      <c r="A211" t="s">
        <v>74</v>
      </c>
      <c r="B211" t="s">
        <v>75</v>
      </c>
      <c r="C211" t="s">
        <v>76</v>
      </c>
      <c r="D211" t="s">
        <v>77</v>
      </c>
      <c r="E211" t="s">
        <v>28</v>
      </c>
      <c r="F211" t="s">
        <v>28</v>
      </c>
      <c r="H211" s="7" t="s">
        <v>811</v>
      </c>
      <c r="I211" s="11" t="s">
        <v>812</v>
      </c>
      <c r="J211" s="3" t="s">
        <v>91</v>
      </c>
      <c r="K211">
        <v>0.27400000000000002</v>
      </c>
      <c r="L211">
        <v>0.27400000000000002</v>
      </c>
      <c r="M211" s="2">
        <v>45199</v>
      </c>
      <c r="N211" s="2">
        <v>45564</v>
      </c>
      <c r="O211" s="17">
        <v>0.27400000000000002</v>
      </c>
      <c r="P211" s="17">
        <v>0</v>
      </c>
      <c r="Q211" s="17">
        <v>0</v>
      </c>
      <c r="R211">
        <v>0</v>
      </c>
      <c r="S211" s="17">
        <f t="shared" si="7"/>
        <v>0</v>
      </c>
      <c r="T211">
        <v>0</v>
      </c>
      <c r="U211">
        <v>0.27400000000000002</v>
      </c>
      <c r="V211">
        <v>0</v>
      </c>
      <c r="W211" s="17">
        <f t="shared" ref="W211:W223" si="9">O211-(R211+S211+T211+U211+V211)</f>
        <v>0</v>
      </c>
      <c r="X211" s="2">
        <v>46230</v>
      </c>
    </row>
    <row r="212" spans="1:28" ht="15.75" customHeight="1" x14ac:dyDescent="0.2">
      <c r="A212" t="s">
        <v>74</v>
      </c>
      <c r="B212" t="s">
        <v>75</v>
      </c>
      <c r="C212" t="s">
        <v>76</v>
      </c>
      <c r="D212" t="s">
        <v>77</v>
      </c>
      <c r="E212" t="s">
        <v>78</v>
      </c>
      <c r="F212" t="s">
        <v>78</v>
      </c>
      <c r="H212" s="7" t="s">
        <v>813</v>
      </c>
      <c r="I212" s="11" t="s">
        <v>814</v>
      </c>
      <c r="J212" s="3" t="s">
        <v>91</v>
      </c>
      <c r="K212">
        <v>1.9</v>
      </c>
      <c r="L212">
        <v>1.9</v>
      </c>
      <c r="M212" s="2">
        <v>45459</v>
      </c>
      <c r="N212" s="2">
        <v>45823</v>
      </c>
      <c r="O212">
        <v>1.9</v>
      </c>
      <c r="P212" s="17">
        <v>0</v>
      </c>
      <c r="Q212" s="17">
        <v>0</v>
      </c>
      <c r="R212">
        <v>0</v>
      </c>
      <c r="S212" s="17">
        <f t="shared" si="7"/>
        <v>0</v>
      </c>
      <c r="T212">
        <v>1.9</v>
      </c>
      <c r="U212">
        <v>0</v>
      </c>
      <c r="V212">
        <v>0</v>
      </c>
      <c r="W212" s="17">
        <f t="shared" si="9"/>
        <v>0</v>
      </c>
      <c r="X212" s="2">
        <v>46230</v>
      </c>
    </row>
    <row r="213" spans="1:28" ht="15.75" customHeight="1" x14ac:dyDescent="0.2">
      <c r="A213" t="s">
        <v>74</v>
      </c>
      <c r="B213" t="s">
        <v>75</v>
      </c>
      <c r="C213" t="s">
        <v>76</v>
      </c>
      <c r="D213" t="s">
        <v>77</v>
      </c>
      <c r="E213" t="s">
        <v>28</v>
      </c>
      <c r="F213" t="s">
        <v>28</v>
      </c>
      <c r="H213" s="7" t="s">
        <v>815</v>
      </c>
      <c r="I213" s="11" t="s">
        <v>816</v>
      </c>
      <c r="J213" s="3" t="s">
        <v>91</v>
      </c>
      <c r="K213">
        <v>0.125</v>
      </c>
      <c r="L213">
        <v>0.125</v>
      </c>
      <c r="M213" s="2">
        <v>45504</v>
      </c>
      <c r="N213" s="2">
        <v>45868</v>
      </c>
      <c r="O213" s="17">
        <v>0.125</v>
      </c>
      <c r="P213" s="17">
        <v>0</v>
      </c>
      <c r="Q213" s="17">
        <v>0</v>
      </c>
      <c r="R213">
        <v>0</v>
      </c>
      <c r="S213" s="17">
        <f t="shared" si="7"/>
        <v>0</v>
      </c>
      <c r="T213">
        <v>0.125</v>
      </c>
      <c r="U213">
        <v>0</v>
      </c>
      <c r="V213">
        <v>0</v>
      </c>
      <c r="W213" s="17">
        <f t="shared" si="9"/>
        <v>0</v>
      </c>
      <c r="X213" s="2">
        <v>46230</v>
      </c>
    </row>
    <row r="214" spans="1:28" ht="15.75" customHeight="1" x14ac:dyDescent="0.2">
      <c r="A214" t="s">
        <v>74</v>
      </c>
      <c r="B214" t="s">
        <v>75</v>
      </c>
      <c r="C214" t="s">
        <v>76</v>
      </c>
      <c r="D214" t="s">
        <v>77</v>
      </c>
      <c r="E214" t="s">
        <v>28</v>
      </c>
      <c r="F214" t="s">
        <v>28</v>
      </c>
      <c r="H214" s="7" t="s">
        <v>817</v>
      </c>
      <c r="I214" s="11" t="s">
        <v>818</v>
      </c>
      <c r="J214" s="3" t="s">
        <v>91</v>
      </c>
      <c r="K214">
        <v>2.8000000000000001E-2</v>
      </c>
      <c r="L214">
        <v>2.8000000000000001E-2</v>
      </c>
      <c r="M214" s="2">
        <v>45561</v>
      </c>
      <c r="N214" s="2">
        <v>45925</v>
      </c>
      <c r="O214" s="17">
        <v>2.8000000000000001E-2</v>
      </c>
      <c r="P214" s="17">
        <v>0</v>
      </c>
      <c r="Q214" s="17">
        <v>0</v>
      </c>
      <c r="R214">
        <v>0</v>
      </c>
      <c r="S214" s="17">
        <f t="shared" si="7"/>
        <v>0</v>
      </c>
      <c r="T214">
        <v>2.8000000000000001E-2</v>
      </c>
      <c r="U214">
        <v>0</v>
      </c>
      <c r="V214">
        <v>0</v>
      </c>
      <c r="W214" s="17">
        <f t="shared" si="9"/>
        <v>0</v>
      </c>
      <c r="X214" s="2">
        <v>46230</v>
      </c>
    </row>
    <row r="215" spans="1:28" ht="15.75" customHeight="1" x14ac:dyDescent="0.2">
      <c r="A215" t="s">
        <v>74</v>
      </c>
      <c r="B215" t="s">
        <v>75</v>
      </c>
      <c r="C215" t="s">
        <v>76</v>
      </c>
      <c r="D215" t="s">
        <v>77</v>
      </c>
      <c r="E215" t="s">
        <v>28</v>
      </c>
      <c r="F215" t="s">
        <v>28</v>
      </c>
      <c r="H215" s="7" t="s">
        <v>819</v>
      </c>
      <c r="I215" s="11" t="s">
        <v>820</v>
      </c>
      <c r="J215" s="3" t="s">
        <v>91</v>
      </c>
      <c r="K215">
        <v>0.20499999999999999</v>
      </c>
      <c r="L215">
        <v>0.20499999999999999</v>
      </c>
      <c r="M215" s="2">
        <v>45565</v>
      </c>
      <c r="N215" s="2">
        <v>45929</v>
      </c>
      <c r="O215" s="17">
        <v>0.20499999999999999</v>
      </c>
      <c r="P215" s="17">
        <v>0</v>
      </c>
      <c r="Q215" s="17">
        <v>0</v>
      </c>
      <c r="R215">
        <v>0</v>
      </c>
      <c r="S215" s="17">
        <f t="shared" si="7"/>
        <v>0</v>
      </c>
      <c r="T215">
        <v>0.20499999999999999</v>
      </c>
      <c r="U215">
        <v>0</v>
      </c>
      <c r="V215">
        <v>0</v>
      </c>
      <c r="W215" s="17">
        <f t="shared" si="9"/>
        <v>0</v>
      </c>
      <c r="X215" s="2">
        <v>46230</v>
      </c>
    </row>
    <row r="216" spans="1:28" ht="15.75" customHeight="1" x14ac:dyDescent="0.2">
      <c r="A216" t="s">
        <v>74</v>
      </c>
      <c r="B216" t="s">
        <v>75</v>
      </c>
      <c r="C216" t="s">
        <v>76</v>
      </c>
      <c r="D216" t="s">
        <v>77</v>
      </c>
      <c r="E216" t="s">
        <v>28</v>
      </c>
      <c r="F216" t="s">
        <v>28</v>
      </c>
      <c r="H216" s="7" t="s">
        <v>821</v>
      </c>
      <c r="I216" s="11" t="s">
        <v>191</v>
      </c>
      <c r="J216" s="3" t="s">
        <v>91</v>
      </c>
      <c r="K216">
        <v>0.46800000000000003</v>
      </c>
      <c r="L216">
        <v>0.46800000000000003</v>
      </c>
      <c r="M216" s="2">
        <v>45565</v>
      </c>
      <c r="N216" s="2">
        <v>45929</v>
      </c>
      <c r="O216" s="17">
        <v>0.46800000000000003</v>
      </c>
      <c r="P216" s="17">
        <v>0</v>
      </c>
      <c r="Q216" s="17">
        <v>0</v>
      </c>
      <c r="R216">
        <v>0</v>
      </c>
      <c r="S216" s="17">
        <f t="shared" si="7"/>
        <v>0</v>
      </c>
      <c r="T216">
        <v>0.46800000000000003</v>
      </c>
      <c r="U216">
        <v>0</v>
      </c>
      <c r="V216">
        <v>0</v>
      </c>
      <c r="W216" s="17">
        <f t="shared" si="9"/>
        <v>0</v>
      </c>
      <c r="X216" s="2">
        <v>46230</v>
      </c>
    </row>
    <row r="217" spans="1:28" ht="15.75" customHeight="1" x14ac:dyDescent="0.2">
      <c r="A217" t="s">
        <v>74</v>
      </c>
      <c r="B217" t="s">
        <v>75</v>
      </c>
      <c r="C217" t="s">
        <v>76</v>
      </c>
      <c r="D217" t="s">
        <v>77</v>
      </c>
      <c r="E217" t="s">
        <v>28</v>
      </c>
      <c r="F217" t="s">
        <v>28</v>
      </c>
      <c r="H217" s="7" t="s">
        <v>822</v>
      </c>
      <c r="I217" s="11" t="s">
        <v>823</v>
      </c>
      <c r="J217" s="3" t="s">
        <v>91</v>
      </c>
      <c r="K217">
        <v>2.5999999999999999E-2</v>
      </c>
      <c r="L217">
        <v>2.5999999999999999E-2</v>
      </c>
      <c r="M217" s="2">
        <v>45565</v>
      </c>
      <c r="N217" s="2">
        <v>45930</v>
      </c>
      <c r="O217" s="17">
        <v>2.5999999999999999E-2</v>
      </c>
      <c r="P217" s="17">
        <v>0</v>
      </c>
      <c r="Q217" s="17">
        <v>0</v>
      </c>
      <c r="R217">
        <v>0</v>
      </c>
      <c r="S217" s="17">
        <f t="shared" si="7"/>
        <v>0</v>
      </c>
      <c r="T217">
        <v>2.5999999999999999E-2</v>
      </c>
      <c r="U217">
        <v>0</v>
      </c>
      <c r="V217">
        <v>0</v>
      </c>
      <c r="W217" s="17">
        <f t="shared" si="9"/>
        <v>0</v>
      </c>
      <c r="X217" s="2">
        <v>46230</v>
      </c>
    </row>
    <row r="218" spans="1:28" ht="15.75" customHeight="1" x14ac:dyDescent="0.2">
      <c r="A218" t="s">
        <v>74</v>
      </c>
      <c r="B218" t="s">
        <v>75</v>
      </c>
      <c r="C218" t="s">
        <v>76</v>
      </c>
      <c r="D218" t="s">
        <v>77</v>
      </c>
      <c r="E218" t="s">
        <v>28</v>
      </c>
      <c r="F218" t="s">
        <v>28</v>
      </c>
      <c r="H218" s="7" t="s">
        <v>824</v>
      </c>
      <c r="I218" s="11" t="s">
        <v>825</v>
      </c>
      <c r="J218" s="3" t="s">
        <v>91</v>
      </c>
      <c r="K218">
        <v>0.11</v>
      </c>
      <c r="L218">
        <v>0.11</v>
      </c>
      <c r="M218" s="2">
        <v>45765</v>
      </c>
      <c r="N218" s="2"/>
      <c r="O218" s="17">
        <v>0.11</v>
      </c>
      <c r="P218" s="17">
        <v>0.11</v>
      </c>
      <c r="Q218" s="17">
        <v>0.11</v>
      </c>
      <c r="R218">
        <v>0</v>
      </c>
      <c r="S218" s="17">
        <f t="shared" si="7"/>
        <v>0.11</v>
      </c>
      <c r="T218">
        <v>0</v>
      </c>
      <c r="U218">
        <v>0</v>
      </c>
      <c r="V218">
        <v>0</v>
      </c>
      <c r="W218" s="17">
        <f t="shared" si="9"/>
        <v>0</v>
      </c>
      <c r="X218" s="2">
        <v>46230</v>
      </c>
    </row>
    <row r="219" spans="1:28" ht="15.75" customHeight="1" x14ac:dyDescent="0.2">
      <c r="A219" t="s">
        <v>74</v>
      </c>
      <c r="B219" t="s">
        <v>75</v>
      </c>
      <c r="C219" t="s">
        <v>76</v>
      </c>
      <c r="D219" t="s">
        <v>77</v>
      </c>
      <c r="E219" t="s">
        <v>28</v>
      </c>
      <c r="F219" t="s">
        <v>28</v>
      </c>
      <c r="H219" s="7" t="s">
        <v>826</v>
      </c>
      <c r="I219" s="11" t="s">
        <v>378</v>
      </c>
      <c r="J219" s="3" t="s">
        <v>91</v>
      </c>
      <c r="K219">
        <v>0.35799999999999998</v>
      </c>
      <c r="L219">
        <v>0.35799999999999998</v>
      </c>
      <c r="M219" s="2">
        <v>45858</v>
      </c>
      <c r="N219" s="2"/>
      <c r="O219" s="17">
        <v>0.35799999999999998</v>
      </c>
      <c r="P219" s="17">
        <v>0.35799999999999998</v>
      </c>
      <c r="Q219" s="17">
        <v>0.35799999999999998</v>
      </c>
      <c r="R219">
        <v>0</v>
      </c>
      <c r="S219" s="17">
        <f t="shared" si="7"/>
        <v>0.35799999999999998</v>
      </c>
      <c r="T219">
        <v>0</v>
      </c>
      <c r="U219">
        <v>0</v>
      </c>
      <c r="V219">
        <v>0</v>
      </c>
      <c r="W219" s="17">
        <f t="shared" si="9"/>
        <v>0</v>
      </c>
      <c r="X219" s="2">
        <v>46230</v>
      </c>
    </row>
    <row r="220" spans="1:28" ht="15.75" customHeight="1" x14ac:dyDescent="0.2">
      <c r="A220" t="s">
        <v>74</v>
      </c>
      <c r="B220" t="s">
        <v>75</v>
      </c>
      <c r="C220" t="s">
        <v>76</v>
      </c>
      <c r="D220" t="s">
        <v>77</v>
      </c>
      <c r="E220" t="s">
        <v>28</v>
      </c>
      <c r="F220" t="s">
        <v>28</v>
      </c>
      <c r="H220" s="7" t="s">
        <v>827</v>
      </c>
      <c r="I220" s="11" t="s">
        <v>828</v>
      </c>
      <c r="J220" s="3" t="s">
        <v>91</v>
      </c>
      <c r="K220">
        <v>0.48299999999999998</v>
      </c>
      <c r="L220">
        <v>2.1</v>
      </c>
      <c r="M220" s="2">
        <v>45930</v>
      </c>
      <c r="N220" s="2"/>
      <c r="O220" s="17">
        <v>0.48299999999999998</v>
      </c>
      <c r="P220" s="17">
        <v>0.48299999999999998</v>
      </c>
      <c r="Q220" s="17">
        <v>0.48299999999999998</v>
      </c>
      <c r="R220">
        <v>0</v>
      </c>
      <c r="S220" s="17">
        <f t="shared" si="7"/>
        <v>0.48299999999999998</v>
      </c>
      <c r="T220">
        <v>0</v>
      </c>
      <c r="U220">
        <v>0</v>
      </c>
      <c r="V220">
        <v>0</v>
      </c>
      <c r="W220" s="17">
        <f t="shared" si="9"/>
        <v>0</v>
      </c>
      <c r="X220" s="2">
        <v>46230</v>
      </c>
      <c r="AB220" s="17"/>
    </row>
    <row r="221" spans="1:28" ht="15.75" customHeight="1" x14ac:dyDescent="0.2">
      <c r="A221" t="s">
        <v>74</v>
      </c>
      <c r="B221" t="s">
        <v>75</v>
      </c>
      <c r="C221" t="s">
        <v>76</v>
      </c>
      <c r="D221" t="s">
        <v>77</v>
      </c>
      <c r="E221" t="s">
        <v>44</v>
      </c>
      <c r="F221" t="s">
        <v>44</v>
      </c>
      <c r="H221" s="7" t="s">
        <v>829</v>
      </c>
      <c r="I221" s="11" t="s">
        <v>830</v>
      </c>
      <c r="J221" s="3" t="s">
        <v>91</v>
      </c>
      <c r="K221">
        <v>11.1</v>
      </c>
      <c r="L221">
        <v>11.1</v>
      </c>
      <c r="M221" s="2">
        <v>45930</v>
      </c>
      <c r="O221" s="17">
        <v>11.1</v>
      </c>
      <c r="P221" s="17">
        <v>11.1</v>
      </c>
      <c r="Q221" s="17">
        <v>11.1</v>
      </c>
      <c r="R221">
        <v>0</v>
      </c>
      <c r="S221" s="17">
        <f t="shared" si="7"/>
        <v>11.1</v>
      </c>
      <c r="T221">
        <v>0</v>
      </c>
      <c r="U221">
        <v>0</v>
      </c>
      <c r="V221">
        <v>0</v>
      </c>
      <c r="W221" s="17">
        <f t="shared" si="9"/>
        <v>0</v>
      </c>
      <c r="X221" s="2">
        <v>46230</v>
      </c>
    </row>
    <row r="222" spans="1:28" ht="15.75" customHeight="1" x14ac:dyDescent="0.2">
      <c r="A222" t="s">
        <v>74</v>
      </c>
      <c r="B222" t="s">
        <v>75</v>
      </c>
      <c r="C222" t="s">
        <v>76</v>
      </c>
      <c r="D222" t="s">
        <v>77</v>
      </c>
      <c r="E222" t="s">
        <v>28</v>
      </c>
      <c r="F222" t="s">
        <v>28</v>
      </c>
      <c r="H222" s="7" t="s">
        <v>831</v>
      </c>
      <c r="I222" s="11" t="s">
        <v>378</v>
      </c>
      <c r="J222" s="3" t="s">
        <v>91</v>
      </c>
      <c r="K222">
        <v>0.245</v>
      </c>
      <c r="L222">
        <v>0.245</v>
      </c>
      <c r="M222" s="2">
        <v>46048</v>
      </c>
      <c r="O222">
        <v>0.245</v>
      </c>
      <c r="P222">
        <v>0.245</v>
      </c>
      <c r="Q222">
        <v>0.245</v>
      </c>
      <c r="R222">
        <v>0.245</v>
      </c>
      <c r="S222" s="17">
        <f t="shared" si="7"/>
        <v>0</v>
      </c>
      <c r="T222">
        <v>0</v>
      </c>
      <c r="U222">
        <v>0</v>
      </c>
      <c r="V222">
        <v>0</v>
      </c>
      <c r="W222" s="17">
        <f t="shared" si="9"/>
        <v>0</v>
      </c>
      <c r="X222" s="2">
        <v>46230</v>
      </c>
    </row>
    <row r="223" spans="1:28" ht="15.75" customHeight="1" x14ac:dyDescent="0.2">
      <c r="A223" t="s">
        <v>74</v>
      </c>
      <c r="B223" t="s">
        <v>75</v>
      </c>
      <c r="C223" t="s">
        <v>761</v>
      </c>
      <c r="D223" t="s">
        <v>77</v>
      </c>
      <c r="E223" t="s">
        <v>44</v>
      </c>
      <c r="F223" t="s">
        <v>44</v>
      </c>
      <c r="H223" s="7" t="s">
        <v>762</v>
      </c>
      <c r="I223" s="11" t="s">
        <v>763</v>
      </c>
      <c r="J223" s="3" t="s">
        <v>91</v>
      </c>
      <c r="K223">
        <v>0.94899999999999995</v>
      </c>
      <c r="L223">
        <v>0.94899999999999995</v>
      </c>
      <c r="M223" s="2">
        <v>46146</v>
      </c>
      <c r="O223" s="17">
        <v>0.94899999999999995</v>
      </c>
      <c r="P223" s="17">
        <v>0.94899999999999995</v>
      </c>
      <c r="Q223" s="17">
        <v>0.94899999999999995</v>
      </c>
      <c r="R223">
        <v>0.94899999999999995</v>
      </c>
      <c r="S223" s="17">
        <f t="shared" si="7"/>
        <v>0</v>
      </c>
      <c r="T223">
        <v>0</v>
      </c>
      <c r="U223">
        <v>0</v>
      </c>
      <c r="V223">
        <v>0</v>
      </c>
      <c r="W223" s="17">
        <f t="shared" si="9"/>
        <v>0</v>
      </c>
      <c r="X223" s="2">
        <v>46230</v>
      </c>
    </row>
    <row r="224" spans="1:28" ht="15.75" customHeight="1" x14ac:dyDescent="0.2">
      <c r="A224" t="s">
        <v>74</v>
      </c>
      <c r="B224" t="s">
        <v>75</v>
      </c>
      <c r="C224" t="s">
        <v>76</v>
      </c>
      <c r="D224" t="s">
        <v>77</v>
      </c>
      <c r="E224" t="s">
        <v>78</v>
      </c>
      <c r="F224" t="s">
        <v>78</v>
      </c>
      <c r="H224" s="7" t="s">
        <v>832</v>
      </c>
      <c r="I224" s="11" t="s">
        <v>833</v>
      </c>
      <c r="J224" s="3" t="s">
        <v>91</v>
      </c>
      <c r="K224">
        <v>0.93300000000000005</v>
      </c>
      <c r="L224">
        <v>0.93300000000000005</v>
      </c>
      <c r="M224" s="2">
        <v>45458</v>
      </c>
      <c r="O224" s="17">
        <v>0.93300000000000005</v>
      </c>
      <c r="P224" s="17">
        <v>0.54900000000000004</v>
      </c>
      <c r="Q224" s="17">
        <v>0.54900000000000004</v>
      </c>
      <c r="R224">
        <v>0</v>
      </c>
      <c r="S224" s="17">
        <f t="shared" si="7"/>
        <v>0.54900000000000004</v>
      </c>
      <c r="T224">
        <v>0.38500000000000001</v>
      </c>
      <c r="U224">
        <v>0</v>
      </c>
      <c r="V224">
        <v>0</v>
      </c>
      <c r="W224" s="17">
        <v>0</v>
      </c>
      <c r="X224" s="2">
        <v>46230</v>
      </c>
    </row>
    <row r="225" spans="1:27" ht="15.75" customHeight="1" x14ac:dyDescent="0.2">
      <c r="A225" t="s">
        <v>74</v>
      </c>
      <c r="B225" t="s">
        <v>75</v>
      </c>
      <c r="C225" t="s">
        <v>350</v>
      </c>
      <c r="D225" t="s">
        <v>351</v>
      </c>
      <c r="E225" t="s">
        <v>78</v>
      </c>
      <c r="F225" t="s">
        <v>78</v>
      </c>
      <c r="H225" s="7" t="s">
        <v>352</v>
      </c>
      <c r="I225" s="11" t="s">
        <v>351</v>
      </c>
      <c r="J225" s="3" t="s">
        <v>31</v>
      </c>
      <c r="K225">
        <v>0.32700000000000001</v>
      </c>
      <c r="L225">
        <v>0.32700000000000001</v>
      </c>
      <c r="M225" s="2">
        <v>44834</v>
      </c>
      <c r="N225" s="2">
        <v>45198</v>
      </c>
      <c r="O225" s="17">
        <v>0.32700000000000001</v>
      </c>
      <c r="P225" s="17">
        <v>0</v>
      </c>
      <c r="Q225" s="17">
        <v>0</v>
      </c>
      <c r="R225">
        <v>0</v>
      </c>
      <c r="S225">
        <v>0</v>
      </c>
      <c r="T225">
        <v>0</v>
      </c>
      <c r="U225">
        <v>0</v>
      </c>
      <c r="V225">
        <v>0.32700000000000001</v>
      </c>
      <c r="W225">
        <v>0</v>
      </c>
      <c r="X225" s="2">
        <v>46230</v>
      </c>
    </row>
    <row r="226" spans="1:27" ht="15.75" customHeight="1" x14ac:dyDescent="0.2">
      <c r="A226" t="s">
        <v>74</v>
      </c>
      <c r="B226" t="s">
        <v>75</v>
      </c>
      <c r="C226" s="9" t="s">
        <v>346</v>
      </c>
      <c r="D226" s="9" t="s">
        <v>347</v>
      </c>
      <c r="E226" t="s">
        <v>78</v>
      </c>
      <c r="F226" t="s">
        <v>78</v>
      </c>
      <c r="H226" s="7" t="s">
        <v>348</v>
      </c>
      <c r="I226" s="11" t="s">
        <v>349</v>
      </c>
      <c r="J226" s="3" t="s">
        <v>31</v>
      </c>
      <c r="K226">
        <v>0.32700000000000001</v>
      </c>
      <c r="L226">
        <v>0.32700000000000001</v>
      </c>
      <c r="M226" s="2">
        <v>44337</v>
      </c>
      <c r="N226" s="2">
        <v>44804</v>
      </c>
      <c r="O226" s="17">
        <v>0.32700000000000001</v>
      </c>
      <c r="P226" s="17">
        <v>0</v>
      </c>
      <c r="Q226" s="17">
        <v>0</v>
      </c>
      <c r="R226">
        <v>0</v>
      </c>
      <c r="S226" s="17">
        <f t="shared" ref="S226:S253" si="10">Q226-R226</f>
        <v>0</v>
      </c>
      <c r="T226">
        <v>0</v>
      </c>
      <c r="U226">
        <v>0</v>
      </c>
      <c r="V226">
        <v>0</v>
      </c>
      <c r="W226" s="17">
        <f>O226-(R226+S226+T226+U226+V226)</f>
        <v>0.32700000000000001</v>
      </c>
      <c r="X226" s="2">
        <v>46230</v>
      </c>
      <c r="Y226" s="7" t="s">
        <v>1052</v>
      </c>
    </row>
    <row r="227" spans="1:27" ht="15.75" customHeight="1" x14ac:dyDescent="0.2">
      <c r="A227" t="s">
        <v>74</v>
      </c>
      <c r="B227" t="s">
        <v>75</v>
      </c>
      <c r="C227" t="s">
        <v>1053</v>
      </c>
      <c r="D227" t="s">
        <v>334</v>
      </c>
      <c r="E227" t="s">
        <v>44</v>
      </c>
      <c r="F227" t="s">
        <v>44</v>
      </c>
      <c r="H227" s="7" t="s">
        <v>335</v>
      </c>
      <c r="I227" s="11" t="s">
        <v>336</v>
      </c>
      <c r="J227" s="3" t="s">
        <v>40</v>
      </c>
      <c r="K227">
        <v>0.12</v>
      </c>
      <c r="L227">
        <v>0.12</v>
      </c>
      <c r="M227" s="2">
        <v>44634</v>
      </c>
      <c r="N227" s="2">
        <v>45090</v>
      </c>
      <c r="O227">
        <v>0.12</v>
      </c>
      <c r="P227" s="17">
        <v>0</v>
      </c>
      <c r="Q227" s="17">
        <v>0</v>
      </c>
      <c r="R227">
        <v>0</v>
      </c>
      <c r="S227" s="17">
        <f t="shared" si="10"/>
        <v>0</v>
      </c>
      <c r="T227">
        <v>0</v>
      </c>
      <c r="U227">
        <v>0</v>
      </c>
      <c r="V227">
        <v>0.11899999999999999</v>
      </c>
      <c r="W227" s="17">
        <v>0</v>
      </c>
      <c r="X227" s="2">
        <v>46230</v>
      </c>
    </row>
    <row r="228" spans="1:27" ht="15.75" customHeight="1" x14ac:dyDescent="0.2">
      <c r="A228" t="s">
        <v>74</v>
      </c>
      <c r="B228" t="s">
        <v>75</v>
      </c>
      <c r="C228" t="s">
        <v>1054</v>
      </c>
      <c r="D228" t="s">
        <v>334</v>
      </c>
      <c r="E228" t="s">
        <v>44</v>
      </c>
      <c r="F228" t="s">
        <v>44</v>
      </c>
      <c r="H228" s="7" t="s">
        <v>748</v>
      </c>
      <c r="I228" s="11" t="s">
        <v>749</v>
      </c>
      <c r="J228" s="3" t="s">
        <v>40</v>
      </c>
      <c r="K228">
        <v>0.12</v>
      </c>
      <c r="L228">
        <v>0.12</v>
      </c>
      <c r="M228" s="2">
        <v>44834</v>
      </c>
      <c r="N228" s="2">
        <v>45198</v>
      </c>
      <c r="O228">
        <v>0.12</v>
      </c>
      <c r="P228" s="17">
        <v>0</v>
      </c>
      <c r="Q228" s="17">
        <v>0</v>
      </c>
      <c r="R228">
        <v>0</v>
      </c>
      <c r="S228" s="17">
        <f t="shared" si="10"/>
        <v>0</v>
      </c>
      <c r="T228">
        <v>0</v>
      </c>
      <c r="U228">
        <v>0</v>
      </c>
      <c r="V228">
        <v>0.121</v>
      </c>
      <c r="W228" s="17">
        <v>0</v>
      </c>
      <c r="X228" s="2">
        <v>46230</v>
      </c>
    </row>
    <row r="229" spans="1:27" ht="15.75" customHeight="1" x14ac:dyDescent="0.2">
      <c r="A229" t="s">
        <v>74</v>
      </c>
      <c r="B229" t="s">
        <v>75</v>
      </c>
      <c r="C229" t="s">
        <v>840</v>
      </c>
      <c r="D229" t="s">
        <v>334</v>
      </c>
      <c r="E229" t="s">
        <v>44</v>
      </c>
      <c r="F229" t="s">
        <v>44</v>
      </c>
      <c r="H229" s="7" t="s">
        <v>841</v>
      </c>
      <c r="I229" s="11" t="s">
        <v>842</v>
      </c>
      <c r="J229" s="3" t="s">
        <v>40</v>
      </c>
      <c r="K229">
        <v>0.13</v>
      </c>
      <c r="L229">
        <v>0.13</v>
      </c>
      <c r="M229" s="2">
        <v>45091</v>
      </c>
      <c r="N229" s="2">
        <v>45456</v>
      </c>
      <c r="O229">
        <v>0.13</v>
      </c>
      <c r="P229" s="17">
        <v>0</v>
      </c>
      <c r="Q229" s="17">
        <v>0</v>
      </c>
      <c r="R229">
        <v>0</v>
      </c>
      <c r="S229" s="17">
        <f t="shared" si="10"/>
        <v>0</v>
      </c>
      <c r="T229">
        <v>0</v>
      </c>
      <c r="U229">
        <v>0.129</v>
      </c>
      <c r="V229">
        <v>0</v>
      </c>
      <c r="W229" s="17">
        <v>0</v>
      </c>
      <c r="X229" s="2">
        <v>46230</v>
      </c>
    </row>
    <row r="230" spans="1:27" ht="15.75" customHeight="1" x14ac:dyDescent="0.2">
      <c r="A230" t="s">
        <v>74</v>
      </c>
      <c r="B230" t="s">
        <v>75</v>
      </c>
      <c r="C230" t="s">
        <v>1055</v>
      </c>
      <c r="D230" t="s">
        <v>334</v>
      </c>
      <c r="E230" t="s">
        <v>44</v>
      </c>
      <c r="F230" t="s">
        <v>44</v>
      </c>
      <c r="H230" s="7" t="s">
        <v>527</v>
      </c>
      <c r="I230" s="11" t="s">
        <v>528</v>
      </c>
      <c r="J230" s="3" t="s">
        <v>40</v>
      </c>
      <c r="K230">
        <v>3.1E-2</v>
      </c>
      <c r="L230">
        <v>3.1E-2</v>
      </c>
      <c r="M230" s="2">
        <v>45199</v>
      </c>
      <c r="N230" s="2">
        <v>45564</v>
      </c>
      <c r="O230" s="17">
        <v>3.1E-2</v>
      </c>
      <c r="P230" s="17">
        <v>0</v>
      </c>
      <c r="Q230" s="17">
        <v>0</v>
      </c>
      <c r="R230">
        <v>0</v>
      </c>
      <c r="S230" s="17">
        <f t="shared" si="10"/>
        <v>0</v>
      </c>
      <c r="T230">
        <v>0</v>
      </c>
      <c r="U230">
        <v>3.1E-2</v>
      </c>
      <c r="V230">
        <v>0</v>
      </c>
      <c r="W230" s="17">
        <v>0</v>
      </c>
      <c r="X230" s="2">
        <v>46230</v>
      </c>
    </row>
    <row r="231" spans="1:27" ht="15.75" customHeight="1" x14ac:dyDescent="0.2">
      <c r="A231" t="s">
        <v>74</v>
      </c>
      <c r="B231" t="s">
        <v>75</v>
      </c>
      <c r="C231" t="s">
        <v>1055</v>
      </c>
      <c r="D231" t="s">
        <v>334</v>
      </c>
      <c r="E231" t="s">
        <v>44</v>
      </c>
      <c r="F231" t="s">
        <v>44</v>
      </c>
      <c r="H231" s="7" t="s">
        <v>525</v>
      </c>
      <c r="I231" s="11" t="s">
        <v>526</v>
      </c>
      <c r="J231" s="3" t="s">
        <v>40</v>
      </c>
      <c r="K231">
        <v>3.1E-2</v>
      </c>
      <c r="L231">
        <v>3.1E-2</v>
      </c>
      <c r="M231" s="2">
        <v>45565</v>
      </c>
      <c r="N231" s="2">
        <v>45929</v>
      </c>
      <c r="O231">
        <v>3.1E-2</v>
      </c>
      <c r="P231" s="17">
        <v>0</v>
      </c>
      <c r="Q231" s="17">
        <v>0</v>
      </c>
      <c r="R231">
        <v>0</v>
      </c>
      <c r="S231" s="17">
        <f t="shared" si="10"/>
        <v>0</v>
      </c>
      <c r="T231">
        <v>3.1E-2</v>
      </c>
      <c r="U231">
        <v>0</v>
      </c>
      <c r="V231">
        <v>0</v>
      </c>
      <c r="W231" s="17">
        <f t="shared" ref="W231:W250" si="11">O231-(R231+S231+T231+U231+V231)</f>
        <v>0</v>
      </c>
      <c r="X231" s="2">
        <v>46230</v>
      </c>
      <c r="Y231" s="7" t="s">
        <v>1056</v>
      </c>
    </row>
    <row r="232" spans="1:27" ht="15.75" customHeight="1" x14ac:dyDescent="0.2">
      <c r="A232" t="s">
        <v>74</v>
      </c>
      <c r="B232" t="s">
        <v>75</v>
      </c>
      <c r="C232" t="s">
        <v>768</v>
      </c>
      <c r="D232" t="s">
        <v>334</v>
      </c>
      <c r="E232" t="s">
        <v>44</v>
      </c>
      <c r="F232" t="s">
        <v>44</v>
      </c>
      <c r="H232" s="7" t="s">
        <v>769</v>
      </c>
      <c r="I232" s="11" t="s">
        <v>770</v>
      </c>
      <c r="J232" s="3" t="s">
        <v>40</v>
      </c>
      <c r="K232">
        <v>3.4000000000000002E-2</v>
      </c>
      <c r="L232">
        <v>6.9000000000000006E-2</v>
      </c>
      <c r="M232" s="2">
        <v>45898</v>
      </c>
      <c r="O232" s="17">
        <v>3.4000000000000002E-2</v>
      </c>
      <c r="P232" s="17">
        <v>3.4000000000000002E-2</v>
      </c>
      <c r="Q232" s="17">
        <v>3.4000000000000002E-2</v>
      </c>
      <c r="R232">
        <v>0</v>
      </c>
      <c r="S232" s="17">
        <f t="shared" si="10"/>
        <v>3.4000000000000002E-2</v>
      </c>
      <c r="T232">
        <v>0</v>
      </c>
      <c r="U232">
        <v>0</v>
      </c>
      <c r="V232">
        <v>0</v>
      </c>
      <c r="W232" s="17">
        <f t="shared" si="11"/>
        <v>0</v>
      </c>
      <c r="X232" s="2">
        <v>46230</v>
      </c>
    </row>
    <row r="233" spans="1:27" ht="15.75" customHeight="1" x14ac:dyDescent="0.2">
      <c r="A233" t="s">
        <v>74</v>
      </c>
      <c r="B233" t="s">
        <v>75</v>
      </c>
      <c r="C233" t="s">
        <v>236</v>
      </c>
      <c r="D233" t="s">
        <v>404</v>
      </c>
      <c r="E233" t="s">
        <v>44</v>
      </c>
      <c r="F233" t="s">
        <v>44</v>
      </c>
      <c r="H233" s="7" t="s">
        <v>405</v>
      </c>
      <c r="I233" s="11" t="s">
        <v>406</v>
      </c>
      <c r="J233" s="3" t="s">
        <v>240</v>
      </c>
      <c r="K233">
        <v>2.9000000000000001E-2</v>
      </c>
      <c r="L233">
        <v>8.6999999999999994E-2</v>
      </c>
      <c r="M233" s="2">
        <v>45927</v>
      </c>
      <c r="O233" s="17">
        <v>2.9000000000000001E-2</v>
      </c>
      <c r="P233" s="17">
        <v>2.9000000000000001E-2</v>
      </c>
      <c r="Q233" s="17">
        <v>2.9000000000000001E-2</v>
      </c>
      <c r="R233">
        <v>0</v>
      </c>
      <c r="S233" s="17">
        <f t="shared" si="10"/>
        <v>2.9000000000000001E-2</v>
      </c>
      <c r="T233">
        <v>0</v>
      </c>
      <c r="U233">
        <v>0</v>
      </c>
      <c r="V233">
        <v>0</v>
      </c>
      <c r="W233" s="17">
        <f t="shared" si="11"/>
        <v>0</v>
      </c>
      <c r="X233" s="2">
        <v>46230</v>
      </c>
    </row>
    <row r="234" spans="1:27" ht="15.75" customHeight="1" x14ac:dyDescent="0.2">
      <c r="A234" t="s">
        <v>74</v>
      </c>
      <c r="B234" t="s">
        <v>75</v>
      </c>
      <c r="C234" t="s">
        <v>473</v>
      </c>
      <c r="D234" t="s">
        <v>404</v>
      </c>
      <c r="E234" t="s">
        <v>44</v>
      </c>
      <c r="F234" t="s">
        <v>44</v>
      </c>
      <c r="H234" s="7" t="s">
        <v>474</v>
      </c>
      <c r="I234" s="11" t="s">
        <v>475</v>
      </c>
      <c r="J234" s="3" t="s">
        <v>40</v>
      </c>
      <c r="K234">
        <v>0.129</v>
      </c>
      <c r="L234">
        <v>0.129</v>
      </c>
      <c r="M234" s="2">
        <v>44056</v>
      </c>
      <c r="N234" s="2">
        <v>45926</v>
      </c>
      <c r="O234" s="17">
        <v>0.104</v>
      </c>
      <c r="P234" s="17">
        <v>0</v>
      </c>
      <c r="Q234" s="17">
        <v>0</v>
      </c>
      <c r="R234">
        <v>0</v>
      </c>
      <c r="S234" s="17">
        <f t="shared" si="10"/>
        <v>0</v>
      </c>
      <c r="T234">
        <v>2.5999999999999999E-2</v>
      </c>
      <c r="U234">
        <v>2.5999999999999999E-2</v>
      </c>
      <c r="V234">
        <v>2.5999999999999999E-2</v>
      </c>
      <c r="W234" s="17">
        <f t="shared" si="11"/>
        <v>2.5999999999999995E-2</v>
      </c>
      <c r="X234" s="2">
        <v>46230</v>
      </c>
      <c r="Y234" s="7" t="s">
        <v>1057</v>
      </c>
    </row>
    <row r="235" spans="1:27" ht="15.75" customHeight="1" x14ac:dyDescent="0.2">
      <c r="A235" t="s">
        <v>74</v>
      </c>
      <c r="B235" t="s">
        <v>75</v>
      </c>
      <c r="C235" t="s">
        <v>229</v>
      </c>
      <c r="D235" t="s">
        <v>229</v>
      </c>
      <c r="E235" t="s">
        <v>78</v>
      </c>
      <c r="F235" t="s">
        <v>78</v>
      </c>
      <c r="H235" s="7" t="s">
        <v>230</v>
      </c>
      <c r="I235" s="11" t="s">
        <v>231</v>
      </c>
      <c r="J235" s="3" t="s">
        <v>31</v>
      </c>
      <c r="K235">
        <v>6.5000000000000002E-2</v>
      </c>
      <c r="L235">
        <v>6.5000000000000002E-2</v>
      </c>
      <c r="M235" s="2">
        <v>44361</v>
      </c>
      <c r="N235" s="2">
        <v>44741</v>
      </c>
      <c r="O235" s="17">
        <v>6.5000000000000002E-2</v>
      </c>
      <c r="P235" s="17">
        <v>0</v>
      </c>
      <c r="Q235" s="17">
        <v>0</v>
      </c>
      <c r="R235">
        <v>0</v>
      </c>
      <c r="S235" s="17">
        <f t="shared" si="10"/>
        <v>0</v>
      </c>
      <c r="T235">
        <v>0</v>
      </c>
      <c r="U235">
        <v>0</v>
      </c>
      <c r="V235">
        <v>0</v>
      </c>
      <c r="W235" s="17">
        <f t="shared" si="11"/>
        <v>6.5000000000000002E-2</v>
      </c>
      <c r="X235" s="2">
        <v>46230</v>
      </c>
    </row>
    <row r="236" spans="1:27" ht="15.75" customHeight="1" x14ac:dyDescent="0.2">
      <c r="A236" t="s">
        <v>74</v>
      </c>
      <c r="B236" t="s">
        <v>75</v>
      </c>
      <c r="C236" t="s">
        <v>229</v>
      </c>
      <c r="D236" t="s">
        <v>229</v>
      </c>
      <c r="E236" t="s">
        <v>78</v>
      </c>
      <c r="F236" t="s">
        <v>78</v>
      </c>
      <c r="H236" s="7" t="s">
        <v>720</v>
      </c>
      <c r="I236" s="11" t="s">
        <v>721</v>
      </c>
      <c r="J236" s="3" t="s">
        <v>31</v>
      </c>
      <c r="K236">
        <v>0.628</v>
      </c>
      <c r="L236">
        <v>0.85699999999999998</v>
      </c>
      <c r="M236" s="2">
        <v>45383</v>
      </c>
      <c r="N236" s="2"/>
      <c r="O236" s="17">
        <v>0.628</v>
      </c>
      <c r="P236" s="17">
        <v>0.28599999999999998</v>
      </c>
      <c r="Q236" s="17">
        <v>0.28599999999999998</v>
      </c>
      <c r="R236">
        <v>5.7000000000000002E-2</v>
      </c>
      <c r="S236" s="17">
        <f t="shared" si="10"/>
        <v>0.22899999999999998</v>
      </c>
      <c r="T236">
        <v>0.34200000000000003</v>
      </c>
      <c r="U236">
        <v>0</v>
      </c>
      <c r="V236">
        <v>0</v>
      </c>
      <c r="W236" s="17">
        <f t="shared" si="11"/>
        <v>0</v>
      </c>
      <c r="X236" s="2">
        <v>46230</v>
      </c>
      <c r="Y236" s="7" t="s">
        <v>1058</v>
      </c>
    </row>
    <row r="237" spans="1:27" ht="15.75" customHeight="1" x14ac:dyDescent="0.2">
      <c r="A237" t="s">
        <v>74</v>
      </c>
      <c r="B237" t="s">
        <v>75</v>
      </c>
      <c r="C237" t="s">
        <v>1055</v>
      </c>
      <c r="D237" t="s">
        <v>229</v>
      </c>
      <c r="E237" t="s">
        <v>44</v>
      </c>
      <c r="F237" t="s">
        <v>44</v>
      </c>
      <c r="H237" s="7" t="s">
        <v>529</v>
      </c>
      <c r="I237" s="11" t="s">
        <v>530</v>
      </c>
      <c r="J237" s="3" t="s">
        <v>40</v>
      </c>
      <c r="K237">
        <v>7.9000000000000001E-2</v>
      </c>
      <c r="L237">
        <v>7.9000000000000001E-2</v>
      </c>
      <c r="M237" s="2">
        <v>44272</v>
      </c>
      <c r="N237" s="2">
        <v>44302</v>
      </c>
      <c r="O237" s="17">
        <v>7.9000000000000001E-2</v>
      </c>
      <c r="P237" s="17">
        <v>0</v>
      </c>
      <c r="Q237" s="17">
        <v>0</v>
      </c>
      <c r="R237">
        <v>0</v>
      </c>
      <c r="S237" s="17">
        <f t="shared" si="10"/>
        <v>0</v>
      </c>
      <c r="T237">
        <v>0</v>
      </c>
      <c r="U237">
        <v>0</v>
      </c>
      <c r="V237">
        <v>0</v>
      </c>
      <c r="W237" s="17">
        <f t="shared" si="11"/>
        <v>7.9000000000000001E-2</v>
      </c>
      <c r="X237" s="2">
        <v>46230</v>
      </c>
    </row>
    <row r="238" spans="1:27" ht="15.75" customHeight="1" x14ac:dyDescent="0.2">
      <c r="A238" t="s">
        <v>74</v>
      </c>
      <c r="B238" t="s">
        <v>75</v>
      </c>
      <c r="C238" t="s">
        <v>1055</v>
      </c>
      <c r="D238" t="s">
        <v>229</v>
      </c>
      <c r="E238" t="s">
        <v>44</v>
      </c>
      <c r="F238" t="s">
        <v>44</v>
      </c>
      <c r="H238" s="7" t="s">
        <v>531</v>
      </c>
      <c r="I238" s="11" t="s">
        <v>532</v>
      </c>
      <c r="J238" s="3" t="s">
        <v>40</v>
      </c>
      <c r="K238">
        <v>0.23499999999999999</v>
      </c>
      <c r="L238">
        <v>0.23499999999999999</v>
      </c>
      <c r="M238" s="2">
        <v>44413</v>
      </c>
      <c r="N238" s="2">
        <v>44833</v>
      </c>
      <c r="O238" s="17">
        <v>0.23499999999999999</v>
      </c>
      <c r="P238" s="17">
        <v>0</v>
      </c>
      <c r="Q238" s="17">
        <v>0</v>
      </c>
      <c r="R238">
        <v>0</v>
      </c>
      <c r="S238" s="17">
        <f t="shared" si="10"/>
        <v>0</v>
      </c>
      <c r="T238">
        <v>0</v>
      </c>
      <c r="U238">
        <v>0</v>
      </c>
      <c r="V238">
        <v>0</v>
      </c>
      <c r="W238" s="17">
        <f t="shared" si="11"/>
        <v>0.23499999999999999</v>
      </c>
      <c r="X238" s="2">
        <v>46230</v>
      </c>
    </row>
    <row r="239" spans="1:27" ht="15.75" customHeight="1" x14ac:dyDescent="0.2">
      <c r="A239" t="s">
        <v>74</v>
      </c>
      <c r="B239" t="s">
        <v>75</v>
      </c>
      <c r="C239" t="s">
        <v>1055</v>
      </c>
      <c r="D239" t="s">
        <v>229</v>
      </c>
      <c r="E239" t="s">
        <v>44</v>
      </c>
      <c r="F239" t="s">
        <v>44</v>
      </c>
      <c r="H239" s="7" t="s">
        <v>533</v>
      </c>
      <c r="I239" s="11" t="s">
        <v>534</v>
      </c>
      <c r="J239" s="3" t="s">
        <v>40</v>
      </c>
      <c r="K239">
        <v>0.23899999999999999</v>
      </c>
      <c r="L239">
        <v>0.23899999999999999</v>
      </c>
      <c r="M239" s="2">
        <v>45199</v>
      </c>
      <c r="N239" s="2">
        <v>45564</v>
      </c>
      <c r="O239" s="17">
        <v>0.23899999999999999</v>
      </c>
      <c r="P239" s="17">
        <v>0</v>
      </c>
      <c r="Q239" s="17">
        <v>0</v>
      </c>
      <c r="R239">
        <v>0</v>
      </c>
      <c r="S239" s="17">
        <f t="shared" si="10"/>
        <v>0</v>
      </c>
      <c r="T239">
        <v>0</v>
      </c>
      <c r="U239">
        <v>0.23899999999999999</v>
      </c>
      <c r="V239">
        <v>0</v>
      </c>
      <c r="W239" s="17">
        <f t="shared" si="11"/>
        <v>0</v>
      </c>
      <c r="X239" s="2">
        <v>46230</v>
      </c>
      <c r="AA239" s="17"/>
    </row>
    <row r="240" spans="1:27" ht="15.75" customHeight="1" x14ac:dyDescent="0.2">
      <c r="A240" t="s">
        <v>74</v>
      </c>
      <c r="B240" t="s">
        <v>75</v>
      </c>
      <c r="C240" t="s">
        <v>1055</v>
      </c>
      <c r="D240" t="s">
        <v>229</v>
      </c>
      <c r="E240" t="s">
        <v>44</v>
      </c>
      <c r="F240" t="s">
        <v>44</v>
      </c>
      <c r="H240" s="7" t="s">
        <v>535</v>
      </c>
      <c r="I240" s="11" t="s">
        <v>534</v>
      </c>
      <c r="J240" s="3" t="s">
        <v>40</v>
      </c>
      <c r="K240">
        <v>0.29099999999999998</v>
      </c>
      <c r="L240">
        <v>0.29099999999999998</v>
      </c>
      <c r="M240" s="2">
        <v>45565</v>
      </c>
      <c r="N240" s="2">
        <v>45929</v>
      </c>
      <c r="O240" s="17">
        <v>0.29099999999999998</v>
      </c>
      <c r="P240" s="17">
        <v>0</v>
      </c>
      <c r="Q240" s="17">
        <v>0</v>
      </c>
      <c r="R240">
        <v>0</v>
      </c>
      <c r="S240" s="17">
        <f t="shared" si="10"/>
        <v>0</v>
      </c>
      <c r="T240">
        <v>0.29099999999999998</v>
      </c>
      <c r="U240">
        <v>0</v>
      </c>
      <c r="V240">
        <v>0</v>
      </c>
      <c r="W240" s="17">
        <f t="shared" si="11"/>
        <v>0</v>
      </c>
      <c r="X240" s="2">
        <v>46230</v>
      </c>
    </row>
    <row r="241" spans="1:27" ht="15.75" customHeight="1" x14ac:dyDescent="0.2">
      <c r="A241" t="s">
        <v>74</v>
      </c>
      <c r="B241" t="s">
        <v>75</v>
      </c>
      <c r="C241" t="s">
        <v>634</v>
      </c>
      <c r="D241" t="s">
        <v>229</v>
      </c>
      <c r="E241" t="s">
        <v>44</v>
      </c>
      <c r="F241" t="s">
        <v>44</v>
      </c>
      <c r="H241" s="7" t="s">
        <v>637</v>
      </c>
      <c r="I241" s="11" t="s">
        <v>638</v>
      </c>
      <c r="J241" s="3" t="s">
        <v>40</v>
      </c>
      <c r="K241">
        <v>0.30199999999999999</v>
      </c>
      <c r="L241">
        <v>0.30199999999999999</v>
      </c>
      <c r="M241" s="2">
        <v>45930</v>
      </c>
      <c r="O241" s="17">
        <v>0.30199999999999999</v>
      </c>
      <c r="P241" s="17">
        <v>0.30199999999999999</v>
      </c>
      <c r="Q241" s="17">
        <v>0.30199999999999999</v>
      </c>
      <c r="R241">
        <v>0</v>
      </c>
      <c r="S241" s="17">
        <f t="shared" si="10"/>
        <v>0.30199999999999999</v>
      </c>
      <c r="T241">
        <v>0</v>
      </c>
      <c r="U241">
        <v>0</v>
      </c>
      <c r="V241">
        <v>0</v>
      </c>
      <c r="W241" s="17">
        <f t="shared" si="11"/>
        <v>0</v>
      </c>
      <c r="X241" s="2">
        <v>46230</v>
      </c>
    </row>
    <row r="242" spans="1:27" ht="15.75" customHeight="1" x14ac:dyDescent="0.2">
      <c r="A242" t="s">
        <v>74</v>
      </c>
      <c r="B242" t="s">
        <v>75</v>
      </c>
      <c r="C242" t="s">
        <v>229</v>
      </c>
      <c r="D242" t="s">
        <v>229</v>
      </c>
      <c r="E242" t="s">
        <v>44</v>
      </c>
      <c r="F242" t="s">
        <v>44</v>
      </c>
      <c r="H242" s="7" t="s">
        <v>722</v>
      </c>
      <c r="I242" s="11" t="s">
        <v>723</v>
      </c>
      <c r="J242" s="3" t="s">
        <v>91</v>
      </c>
      <c r="K242">
        <v>9.6000000000000002E-2</v>
      </c>
      <c r="L242">
        <v>9.6000000000000002E-2</v>
      </c>
      <c r="M242" s="2">
        <v>44606</v>
      </c>
      <c r="N242" s="2">
        <v>44833</v>
      </c>
      <c r="O242" s="17">
        <v>9.6000000000000002E-2</v>
      </c>
      <c r="P242" s="17">
        <v>0</v>
      </c>
      <c r="Q242" s="17">
        <v>0</v>
      </c>
      <c r="R242">
        <v>0</v>
      </c>
      <c r="S242" s="17">
        <f t="shared" si="10"/>
        <v>0</v>
      </c>
      <c r="T242">
        <v>0</v>
      </c>
      <c r="U242">
        <v>0</v>
      </c>
      <c r="V242">
        <v>9.6000000000000002E-2</v>
      </c>
      <c r="W242" s="17">
        <f t="shared" si="11"/>
        <v>0</v>
      </c>
      <c r="X242" s="2">
        <v>46230</v>
      </c>
    </row>
    <row r="243" spans="1:27" ht="15.75" customHeight="1" x14ac:dyDescent="0.2">
      <c r="A243" t="s">
        <v>74</v>
      </c>
      <c r="B243" t="s">
        <v>75</v>
      </c>
      <c r="C243" t="s">
        <v>229</v>
      </c>
      <c r="D243" t="s">
        <v>229</v>
      </c>
      <c r="E243" t="s">
        <v>78</v>
      </c>
      <c r="F243" t="s">
        <v>78</v>
      </c>
      <c r="H243" s="7" t="s">
        <v>724</v>
      </c>
      <c r="I243" s="11" t="s">
        <v>725</v>
      </c>
      <c r="J243" s="3" t="s">
        <v>91</v>
      </c>
      <c r="K243">
        <v>6.3E-2</v>
      </c>
      <c r="L243">
        <v>6.3E-2</v>
      </c>
      <c r="M243" s="2">
        <v>44615</v>
      </c>
      <c r="N243" s="2">
        <v>45107</v>
      </c>
      <c r="O243" s="17">
        <v>6.3E-2</v>
      </c>
      <c r="P243" s="17">
        <v>0</v>
      </c>
      <c r="Q243" s="17">
        <v>0</v>
      </c>
      <c r="R243">
        <v>0</v>
      </c>
      <c r="S243" s="17">
        <f t="shared" si="10"/>
        <v>0</v>
      </c>
      <c r="T243">
        <v>0</v>
      </c>
      <c r="U243">
        <v>0</v>
      </c>
      <c r="V243">
        <v>6.3E-2</v>
      </c>
      <c r="W243" s="17">
        <f t="shared" si="11"/>
        <v>0</v>
      </c>
      <c r="X243" s="2">
        <v>46230</v>
      </c>
    </row>
    <row r="244" spans="1:27" ht="15.75" customHeight="1" x14ac:dyDescent="0.2">
      <c r="A244" t="s">
        <v>74</v>
      </c>
      <c r="B244" t="s">
        <v>75</v>
      </c>
      <c r="C244" t="s">
        <v>229</v>
      </c>
      <c r="D244" t="s">
        <v>229</v>
      </c>
      <c r="E244" t="s">
        <v>44</v>
      </c>
      <c r="F244" t="s">
        <v>44</v>
      </c>
      <c r="H244" s="7" t="s">
        <v>726</v>
      </c>
      <c r="I244" s="11" t="s">
        <v>727</v>
      </c>
      <c r="J244" s="3" t="s">
        <v>91</v>
      </c>
      <c r="K244">
        <v>0.11899999999999999</v>
      </c>
      <c r="L244">
        <v>0.11899999999999999</v>
      </c>
      <c r="M244" s="2">
        <v>44834</v>
      </c>
      <c r="N244" s="2">
        <v>45198</v>
      </c>
      <c r="O244" s="17">
        <v>0.11899999999999999</v>
      </c>
      <c r="P244" s="17">
        <v>0</v>
      </c>
      <c r="Q244" s="17">
        <v>0</v>
      </c>
      <c r="R244">
        <v>0</v>
      </c>
      <c r="S244" s="17">
        <f t="shared" si="10"/>
        <v>0</v>
      </c>
      <c r="T244">
        <v>0</v>
      </c>
      <c r="U244">
        <v>0</v>
      </c>
      <c r="V244">
        <v>0.11899999999999999</v>
      </c>
      <c r="W244" s="17">
        <f t="shared" si="11"/>
        <v>0</v>
      </c>
      <c r="X244" s="2">
        <v>46230</v>
      </c>
    </row>
    <row r="245" spans="1:27" ht="15.75" customHeight="1" x14ac:dyDescent="0.2">
      <c r="A245" t="s">
        <v>74</v>
      </c>
      <c r="B245" t="s">
        <v>75</v>
      </c>
      <c r="C245" t="s">
        <v>229</v>
      </c>
      <c r="D245" t="s">
        <v>229</v>
      </c>
      <c r="E245" t="s">
        <v>78</v>
      </c>
      <c r="F245" t="s">
        <v>78</v>
      </c>
      <c r="H245" s="7" t="s">
        <v>728</v>
      </c>
      <c r="I245" s="11" t="s">
        <v>729</v>
      </c>
      <c r="J245" s="3" t="s">
        <v>91</v>
      </c>
      <c r="K245">
        <v>4.9000000000000002E-2</v>
      </c>
      <c r="L245">
        <v>4.9000000000000002E-2</v>
      </c>
      <c r="M245" s="2">
        <v>45108</v>
      </c>
      <c r="N245" s="2">
        <v>45473</v>
      </c>
      <c r="O245" s="17">
        <v>4.9000000000000002E-2</v>
      </c>
      <c r="P245" s="17">
        <v>0</v>
      </c>
      <c r="Q245" s="17">
        <v>0</v>
      </c>
      <c r="R245">
        <v>0</v>
      </c>
      <c r="S245" s="17">
        <f t="shared" si="10"/>
        <v>0</v>
      </c>
      <c r="T245">
        <v>0</v>
      </c>
      <c r="U245">
        <v>4.9000000000000002E-2</v>
      </c>
      <c r="V245">
        <v>0</v>
      </c>
      <c r="W245" s="17">
        <f t="shared" si="11"/>
        <v>0</v>
      </c>
      <c r="X245" s="2">
        <v>46230</v>
      </c>
    </row>
    <row r="246" spans="1:27" ht="15.75" customHeight="1" x14ac:dyDescent="0.2">
      <c r="A246" t="s">
        <v>74</v>
      </c>
      <c r="B246" t="s">
        <v>75</v>
      </c>
      <c r="C246" t="s">
        <v>229</v>
      </c>
      <c r="D246" t="s">
        <v>229</v>
      </c>
      <c r="E246" t="s">
        <v>44</v>
      </c>
      <c r="F246" t="s">
        <v>44</v>
      </c>
      <c r="H246" s="7" t="s">
        <v>730</v>
      </c>
      <c r="I246" s="11" t="s">
        <v>731</v>
      </c>
      <c r="J246" s="3" t="s">
        <v>91</v>
      </c>
      <c r="K246">
        <v>0.14299999999999999</v>
      </c>
      <c r="L246">
        <v>0.14299999999999999</v>
      </c>
      <c r="M246" s="2">
        <v>45180</v>
      </c>
      <c r="N246" s="2">
        <v>45545</v>
      </c>
      <c r="O246" s="17">
        <v>0.14299999999999999</v>
      </c>
      <c r="P246" s="17">
        <v>0</v>
      </c>
      <c r="Q246" s="17">
        <v>0</v>
      </c>
      <c r="R246">
        <v>0</v>
      </c>
      <c r="S246" s="17">
        <f t="shared" si="10"/>
        <v>0</v>
      </c>
      <c r="T246">
        <v>0</v>
      </c>
      <c r="U246">
        <v>0.14299999999999999</v>
      </c>
      <c r="V246">
        <v>0</v>
      </c>
      <c r="W246" s="17">
        <f t="shared" si="11"/>
        <v>0</v>
      </c>
      <c r="X246" s="2">
        <v>46230</v>
      </c>
    </row>
    <row r="247" spans="1:27" ht="15.75" customHeight="1" x14ac:dyDescent="0.2">
      <c r="A247" t="s">
        <v>74</v>
      </c>
      <c r="B247" t="s">
        <v>75</v>
      </c>
      <c r="C247" t="s">
        <v>229</v>
      </c>
      <c r="D247" t="s">
        <v>229</v>
      </c>
      <c r="E247" t="s">
        <v>44</v>
      </c>
      <c r="F247" t="s">
        <v>44</v>
      </c>
      <c r="H247" s="7" t="s">
        <v>732</v>
      </c>
      <c r="I247" s="11" t="s">
        <v>733</v>
      </c>
      <c r="J247" s="3" t="s">
        <v>91</v>
      </c>
      <c r="K247">
        <v>0.25800000000000001</v>
      </c>
      <c r="L247">
        <v>0.25800000000000001</v>
      </c>
      <c r="M247" s="2">
        <v>45680</v>
      </c>
      <c r="N247" s="2">
        <v>45930</v>
      </c>
      <c r="O247" s="17">
        <v>0.25800000000000001</v>
      </c>
      <c r="P247" s="17">
        <v>0.25800000000000001</v>
      </c>
      <c r="Q247" s="17">
        <v>0.25800000000000001</v>
      </c>
      <c r="R247">
        <v>0</v>
      </c>
      <c r="S247" s="17">
        <f t="shared" si="10"/>
        <v>0.25800000000000001</v>
      </c>
      <c r="T247">
        <v>0</v>
      </c>
      <c r="U247">
        <v>0</v>
      </c>
      <c r="V247">
        <v>0</v>
      </c>
      <c r="W247" s="17">
        <f t="shared" si="11"/>
        <v>0</v>
      </c>
      <c r="X247" s="2">
        <v>46230</v>
      </c>
      <c r="Y247" s="7" t="s">
        <v>1059</v>
      </c>
    </row>
    <row r="248" spans="1:27" ht="15.75" customHeight="1" x14ac:dyDescent="0.2">
      <c r="A248" t="s">
        <v>74</v>
      </c>
      <c r="B248" t="s">
        <v>75</v>
      </c>
      <c r="C248" t="s">
        <v>229</v>
      </c>
      <c r="D248" t="s">
        <v>229</v>
      </c>
      <c r="E248" t="s">
        <v>44</v>
      </c>
      <c r="F248" t="s">
        <v>44</v>
      </c>
      <c r="H248" s="7" t="s">
        <v>734</v>
      </c>
      <c r="I248" s="11" t="s">
        <v>735</v>
      </c>
      <c r="J248" s="3" t="s">
        <v>91</v>
      </c>
      <c r="K248">
        <v>0.12</v>
      </c>
      <c r="L248">
        <v>0.24</v>
      </c>
      <c r="M248" s="2">
        <v>46139</v>
      </c>
      <c r="O248" s="17">
        <v>0.12</v>
      </c>
      <c r="P248" s="17">
        <v>0.12</v>
      </c>
      <c r="Q248" s="17">
        <v>0.12</v>
      </c>
      <c r="R248">
        <v>0.12</v>
      </c>
      <c r="S248" s="17">
        <f t="shared" si="10"/>
        <v>0</v>
      </c>
      <c r="T248">
        <v>0</v>
      </c>
      <c r="U248">
        <v>0</v>
      </c>
      <c r="V248">
        <v>0</v>
      </c>
      <c r="W248" s="17">
        <f t="shared" si="11"/>
        <v>0</v>
      </c>
      <c r="X248" s="2">
        <v>46230</v>
      </c>
    </row>
    <row r="249" spans="1:27" ht="15.75" customHeight="1" x14ac:dyDescent="0.2">
      <c r="A249" t="s">
        <v>74</v>
      </c>
      <c r="B249" t="s">
        <v>75</v>
      </c>
      <c r="C249" t="s">
        <v>205</v>
      </c>
      <c r="D249" t="s">
        <v>205</v>
      </c>
      <c r="E249" t="s">
        <v>44</v>
      </c>
      <c r="F249" t="s">
        <v>44</v>
      </c>
      <c r="H249" s="7" t="s">
        <v>206</v>
      </c>
      <c r="I249" s="11" t="s">
        <v>207</v>
      </c>
      <c r="J249" s="3" t="s">
        <v>91</v>
      </c>
      <c r="K249">
        <v>0.62</v>
      </c>
      <c r="L249">
        <v>0.62</v>
      </c>
      <c r="M249" s="2">
        <v>43728</v>
      </c>
      <c r="N249" s="2">
        <v>45184</v>
      </c>
      <c r="O249" s="17">
        <v>0.32500000000000001</v>
      </c>
      <c r="P249" s="17">
        <v>0</v>
      </c>
      <c r="Q249" s="17">
        <v>0</v>
      </c>
      <c r="R249">
        <v>0</v>
      </c>
      <c r="S249" s="17">
        <f t="shared" si="10"/>
        <v>0</v>
      </c>
      <c r="T249">
        <v>0</v>
      </c>
      <c r="U249">
        <v>0</v>
      </c>
      <c r="V249">
        <v>0.17699999999999999</v>
      </c>
      <c r="W249" s="17">
        <f t="shared" si="11"/>
        <v>0.14800000000000002</v>
      </c>
      <c r="X249" s="2">
        <v>46230</v>
      </c>
    </row>
    <row r="250" spans="1:27" ht="15.75" customHeight="1" x14ac:dyDescent="0.2">
      <c r="A250" t="s">
        <v>74</v>
      </c>
      <c r="B250" t="s">
        <v>75</v>
      </c>
      <c r="C250" t="s">
        <v>205</v>
      </c>
      <c r="D250" t="s">
        <v>205</v>
      </c>
      <c r="E250" t="s">
        <v>44</v>
      </c>
      <c r="F250" t="s">
        <v>44</v>
      </c>
      <c r="H250" s="7" t="s">
        <v>709</v>
      </c>
      <c r="I250" s="11" t="s">
        <v>710</v>
      </c>
      <c r="J250" s="3" t="s">
        <v>91</v>
      </c>
      <c r="K250">
        <v>0.53100000000000003</v>
      </c>
      <c r="L250">
        <v>0.53100000000000003</v>
      </c>
      <c r="M250" s="2">
        <v>45185</v>
      </c>
      <c r="O250" s="17">
        <v>0.53100000000000003</v>
      </c>
      <c r="P250" s="17">
        <v>0.17699999999999999</v>
      </c>
      <c r="Q250" s="17">
        <v>0.17699999999999999</v>
      </c>
      <c r="R250">
        <v>0</v>
      </c>
      <c r="S250" s="17">
        <f t="shared" si="10"/>
        <v>0.17699999999999999</v>
      </c>
      <c r="T250">
        <v>0.17699999999999999</v>
      </c>
      <c r="U250">
        <v>0.17699999999999999</v>
      </c>
      <c r="V250">
        <v>0</v>
      </c>
      <c r="W250" s="17">
        <f t="shared" si="11"/>
        <v>0</v>
      </c>
      <c r="X250" s="2">
        <v>46230</v>
      </c>
    </row>
    <row r="251" spans="1:27" ht="15.75" customHeight="1" x14ac:dyDescent="0.2">
      <c r="A251" t="s">
        <v>74</v>
      </c>
      <c r="B251" t="s">
        <v>75</v>
      </c>
      <c r="C251" t="s">
        <v>205</v>
      </c>
      <c r="D251" t="s">
        <v>205</v>
      </c>
      <c r="E251" t="s">
        <v>44</v>
      </c>
      <c r="F251" t="s">
        <v>44</v>
      </c>
      <c r="H251" s="7" t="s">
        <v>711</v>
      </c>
      <c r="I251" s="11" t="s">
        <v>712</v>
      </c>
      <c r="J251" s="3" t="s">
        <v>91</v>
      </c>
      <c r="K251">
        <v>3.2</v>
      </c>
      <c r="L251">
        <v>3.2</v>
      </c>
      <c r="M251" s="2">
        <v>44440</v>
      </c>
      <c r="O251">
        <v>3.2</v>
      </c>
      <c r="P251" s="17">
        <v>0.73799999999999999</v>
      </c>
      <c r="Q251" s="17">
        <v>0.73799999999999999</v>
      </c>
      <c r="R251">
        <v>0</v>
      </c>
      <c r="S251" s="17">
        <f t="shared" si="10"/>
        <v>0.73799999999999999</v>
      </c>
      <c r="T251">
        <v>0.69899999999999995</v>
      </c>
      <c r="U251">
        <v>0.66</v>
      </c>
      <c r="V251">
        <v>0.622</v>
      </c>
      <c r="W251" s="17">
        <v>0.45300000000000001</v>
      </c>
      <c r="X251" s="2">
        <v>46230</v>
      </c>
    </row>
    <row r="252" spans="1:27" ht="15.75" customHeight="1" x14ac:dyDescent="0.2">
      <c r="A252" t="s">
        <v>74</v>
      </c>
      <c r="B252" t="s">
        <v>75</v>
      </c>
      <c r="C252" t="s">
        <v>123</v>
      </c>
      <c r="D252" t="s">
        <v>124</v>
      </c>
      <c r="E252" t="s">
        <v>49</v>
      </c>
      <c r="F252" t="s">
        <v>49</v>
      </c>
      <c r="H252" s="7" t="s">
        <v>125</v>
      </c>
      <c r="I252" s="11" t="s">
        <v>126</v>
      </c>
      <c r="J252" s="3" t="s">
        <v>40</v>
      </c>
      <c r="K252">
        <v>2.5000000000000001E-2</v>
      </c>
      <c r="L252">
        <v>9.4E-2</v>
      </c>
      <c r="M252" s="2">
        <v>46050</v>
      </c>
      <c r="N252" s="2">
        <v>46059</v>
      </c>
      <c r="O252">
        <v>2.5000000000000001E-2</v>
      </c>
      <c r="P252">
        <v>2.5000000000000001E-2</v>
      </c>
      <c r="Q252">
        <v>2.5000000000000001E-2</v>
      </c>
      <c r="R252">
        <v>2.5000000000000001E-2</v>
      </c>
      <c r="S252" s="17">
        <f t="shared" si="10"/>
        <v>0</v>
      </c>
      <c r="T252">
        <v>0</v>
      </c>
      <c r="U252">
        <v>0</v>
      </c>
      <c r="V252">
        <v>0</v>
      </c>
      <c r="W252" s="17">
        <f>O252-(R252+S252+T252+U252+V252)</f>
        <v>0</v>
      </c>
      <c r="X252" s="2">
        <v>46230</v>
      </c>
      <c r="AA252" s="17"/>
    </row>
    <row r="253" spans="1:27" ht="15.75" customHeight="1" x14ac:dyDescent="0.2">
      <c r="A253" t="s">
        <v>74</v>
      </c>
      <c r="B253" t="s">
        <v>75</v>
      </c>
      <c r="C253" t="s">
        <v>166</v>
      </c>
      <c r="D253" t="s">
        <v>124</v>
      </c>
      <c r="E253" t="s">
        <v>44</v>
      </c>
      <c r="F253" t="s">
        <v>44</v>
      </c>
      <c r="H253" s="7" t="s">
        <v>595</v>
      </c>
      <c r="I253" s="11" t="s">
        <v>596</v>
      </c>
      <c r="J253" s="3" t="s">
        <v>40</v>
      </c>
      <c r="K253">
        <v>0.40400000000000003</v>
      </c>
      <c r="L253">
        <v>0.40400000000000003</v>
      </c>
      <c r="M253" s="2">
        <v>46135</v>
      </c>
      <c r="O253" s="17">
        <v>0.40400000000000003</v>
      </c>
      <c r="P253" s="17">
        <v>0.40400000000000003</v>
      </c>
      <c r="Q253" s="17">
        <v>0.40400000000000003</v>
      </c>
      <c r="R253">
        <v>0.40400000000000003</v>
      </c>
      <c r="S253" s="17">
        <f t="shared" si="10"/>
        <v>0</v>
      </c>
      <c r="T253">
        <v>0</v>
      </c>
      <c r="U253">
        <v>0</v>
      </c>
      <c r="V253">
        <v>0</v>
      </c>
      <c r="W253" s="17">
        <f>O253-(R253+S253+T253+U253+V253)</f>
        <v>0</v>
      </c>
      <c r="X253" s="2">
        <v>46230</v>
      </c>
    </row>
    <row r="254" spans="1:27" ht="15.75" customHeight="1" x14ac:dyDescent="0.2">
      <c r="A254" t="s">
        <v>74</v>
      </c>
      <c r="B254" t="s">
        <v>378</v>
      </c>
      <c r="C254" t="s">
        <v>166</v>
      </c>
      <c r="D254" t="s">
        <v>124</v>
      </c>
      <c r="E254" t="s">
        <v>28</v>
      </c>
      <c r="F254" t="s">
        <v>28</v>
      </c>
      <c r="H254" s="7" t="s">
        <v>585</v>
      </c>
      <c r="I254" s="12" t="s">
        <v>586</v>
      </c>
      <c r="J254" s="3" t="s">
        <v>40</v>
      </c>
      <c r="K254">
        <v>2.9000000000000001E-2</v>
      </c>
      <c r="L254">
        <v>9.6000000000000002E-2</v>
      </c>
      <c r="M254" s="2">
        <v>46188</v>
      </c>
      <c r="O254" s="17">
        <v>2.9000000000000001E-2</v>
      </c>
      <c r="P254" s="17">
        <v>2.9000000000000001E-2</v>
      </c>
      <c r="Q254" s="17">
        <v>2.9000000000000001E-2</v>
      </c>
      <c r="R254">
        <v>2.9000000000000001E-2</v>
      </c>
      <c r="S254">
        <v>0</v>
      </c>
      <c r="T254">
        <v>0</v>
      </c>
      <c r="U254">
        <v>0</v>
      </c>
      <c r="V254">
        <v>0</v>
      </c>
      <c r="W254">
        <v>0</v>
      </c>
      <c r="X254" s="2">
        <v>46230</v>
      </c>
      <c r="Y254" s="21"/>
    </row>
    <row r="255" spans="1:27" ht="15.75" customHeight="1" x14ac:dyDescent="0.2">
      <c r="A255" t="s">
        <v>74</v>
      </c>
      <c r="B255" t="s">
        <v>75</v>
      </c>
      <c r="C255" t="s">
        <v>166</v>
      </c>
      <c r="D255" t="s">
        <v>124</v>
      </c>
      <c r="E255" t="s">
        <v>44</v>
      </c>
      <c r="F255" t="s">
        <v>44</v>
      </c>
      <c r="H255" s="7" t="s">
        <v>597</v>
      </c>
      <c r="I255" s="11" t="s">
        <v>598</v>
      </c>
      <c r="J255" s="3" t="s">
        <v>174</v>
      </c>
      <c r="K255">
        <v>5</v>
      </c>
      <c r="L255">
        <v>5</v>
      </c>
      <c r="M255" s="2">
        <v>45563</v>
      </c>
      <c r="N255" s="2">
        <v>45927</v>
      </c>
      <c r="O255">
        <v>5</v>
      </c>
      <c r="P255" s="17">
        <v>0</v>
      </c>
      <c r="Q255" s="17">
        <v>0</v>
      </c>
      <c r="R255">
        <v>0</v>
      </c>
      <c r="S255" s="17">
        <f>Q255-R255</f>
        <v>0</v>
      </c>
      <c r="T255">
        <v>4.9950000000000001</v>
      </c>
      <c r="U255">
        <v>0</v>
      </c>
      <c r="V255">
        <v>0</v>
      </c>
      <c r="W255" s="17">
        <v>0</v>
      </c>
      <c r="X255" s="2">
        <v>46230</v>
      </c>
    </row>
    <row r="256" spans="1:27" ht="15.75" customHeight="1" x14ac:dyDescent="0.2">
      <c r="A256" t="s">
        <v>74</v>
      </c>
      <c r="B256" t="s">
        <v>75</v>
      </c>
      <c r="C256" t="s">
        <v>166</v>
      </c>
      <c r="D256" t="s">
        <v>124</v>
      </c>
      <c r="E256" t="s">
        <v>78</v>
      </c>
      <c r="F256" t="s">
        <v>78</v>
      </c>
      <c r="H256" s="7" t="s">
        <v>599</v>
      </c>
      <c r="I256" s="11" t="s">
        <v>600</v>
      </c>
      <c r="J256" s="3" t="s">
        <v>174</v>
      </c>
      <c r="K256">
        <v>0.26200000000000001</v>
      </c>
      <c r="L256">
        <v>0.26200000000000001</v>
      </c>
      <c r="M256" s="2">
        <v>46140</v>
      </c>
      <c r="O256" s="17">
        <v>0.26200000000000001</v>
      </c>
      <c r="P256" s="17">
        <v>0.26200000000000001</v>
      </c>
      <c r="Q256" s="17">
        <v>0.26200000000000001</v>
      </c>
      <c r="R256">
        <v>0</v>
      </c>
      <c r="S256" s="17">
        <f>Q256-R256</f>
        <v>0.26200000000000001</v>
      </c>
      <c r="T256">
        <v>0</v>
      </c>
      <c r="U256">
        <v>0</v>
      </c>
      <c r="V256">
        <v>0</v>
      </c>
      <c r="W256" s="17">
        <f>O256-(R256+S256+T256+U256+V256)</f>
        <v>0</v>
      </c>
      <c r="X256" s="2">
        <v>46230</v>
      </c>
    </row>
    <row r="257" spans="1:25" ht="15.75" customHeight="1" x14ac:dyDescent="0.2">
      <c r="A257" t="s">
        <v>74</v>
      </c>
      <c r="B257" t="s">
        <v>75</v>
      </c>
      <c r="C257" t="s">
        <v>166</v>
      </c>
      <c r="D257" t="s">
        <v>124</v>
      </c>
      <c r="E257" t="s">
        <v>44</v>
      </c>
      <c r="F257" t="s">
        <v>44</v>
      </c>
      <c r="H257" s="7" t="s">
        <v>601</v>
      </c>
      <c r="I257" s="11" t="s">
        <v>602</v>
      </c>
      <c r="J257" s="3" t="s">
        <v>174</v>
      </c>
      <c r="K257">
        <v>3.1</v>
      </c>
      <c r="L257">
        <v>3.1</v>
      </c>
      <c r="M257" s="2">
        <v>45930</v>
      </c>
      <c r="O257" s="17">
        <v>3.1</v>
      </c>
      <c r="P257" s="17">
        <v>3.1</v>
      </c>
      <c r="Q257" s="17">
        <v>3.1</v>
      </c>
      <c r="R257">
        <v>0</v>
      </c>
      <c r="S257" s="17">
        <f>Q257-R257</f>
        <v>3.1</v>
      </c>
      <c r="T257">
        <v>0</v>
      </c>
      <c r="U257">
        <v>0</v>
      </c>
      <c r="V257">
        <v>0</v>
      </c>
      <c r="W257" s="17">
        <f>O257-(R257+S257+T257+U257+V257)</f>
        <v>0</v>
      </c>
      <c r="X257" s="2">
        <v>46230</v>
      </c>
      <c r="Y257" s="7" t="s">
        <v>1060</v>
      </c>
    </row>
    <row r="258" spans="1:25" ht="15.75" customHeight="1" x14ac:dyDescent="0.2">
      <c r="A258" t="s">
        <v>74</v>
      </c>
      <c r="B258" t="s">
        <v>75</v>
      </c>
      <c r="C258" t="s">
        <v>688</v>
      </c>
      <c r="D258" t="s">
        <v>124</v>
      </c>
      <c r="E258" t="s">
        <v>78</v>
      </c>
      <c r="F258" t="s">
        <v>78</v>
      </c>
      <c r="H258" s="7" t="s">
        <v>689</v>
      </c>
      <c r="I258" s="11" t="s">
        <v>690</v>
      </c>
      <c r="J258" s="3" t="s">
        <v>228</v>
      </c>
      <c r="K258">
        <v>10.199999999999999</v>
      </c>
      <c r="L258">
        <v>49.5</v>
      </c>
      <c r="M258" s="2">
        <v>45513</v>
      </c>
      <c r="O258" s="17">
        <v>10.199999999999999</v>
      </c>
      <c r="P258" s="17">
        <v>4.8410000000000002</v>
      </c>
      <c r="Q258" s="17">
        <v>4.8410000000000002</v>
      </c>
      <c r="R258">
        <v>1.4370000000000001</v>
      </c>
      <c r="S258" s="17">
        <v>3.4039999999999999</v>
      </c>
      <c r="T258">
        <v>5.3609999999999998</v>
      </c>
      <c r="U258">
        <v>0</v>
      </c>
      <c r="V258">
        <v>0</v>
      </c>
      <c r="W258" s="17">
        <v>0</v>
      </c>
      <c r="X258" s="2">
        <v>46230</v>
      </c>
    </row>
    <row r="259" spans="1:25" ht="15.75" customHeight="1" x14ac:dyDescent="0.2">
      <c r="A259" t="s">
        <v>74</v>
      </c>
      <c r="B259" t="s">
        <v>75</v>
      </c>
      <c r="C259" t="s">
        <v>166</v>
      </c>
      <c r="D259" t="s">
        <v>273</v>
      </c>
      <c r="E259" t="s">
        <v>78</v>
      </c>
      <c r="F259" t="s">
        <v>78</v>
      </c>
      <c r="H259" s="7" t="s">
        <v>274</v>
      </c>
      <c r="I259" s="11" t="s">
        <v>275</v>
      </c>
      <c r="J259" s="3" t="s">
        <v>174</v>
      </c>
      <c r="K259">
        <v>1.3</v>
      </c>
      <c r="L259">
        <v>1.3</v>
      </c>
      <c r="M259" s="2">
        <v>45432</v>
      </c>
      <c r="N259" s="2">
        <v>45458</v>
      </c>
      <c r="O259">
        <v>1.3</v>
      </c>
      <c r="P259" s="17">
        <v>0</v>
      </c>
      <c r="Q259" s="17">
        <v>0</v>
      </c>
      <c r="R259">
        <v>0</v>
      </c>
      <c r="S259" s="17">
        <f>Q259-R259</f>
        <v>0</v>
      </c>
      <c r="T259">
        <v>1.3</v>
      </c>
      <c r="U259">
        <v>0</v>
      </c>
      <c r="V259">
        <v>0</v>
      </c>
      <c r="W259" s="17">
        <f>O259-(R259+S259+T259+U259+V259)</f>
        <v>0</v>
      </c>
      <c r="X259" s="2">
        <v>46230</v>
      </c>
    </row>
    <row r="260" spans="1:25" ht="15.75" customHeight="1" x14ac:dyDescent="0.2">
      <c r="A260" t="s">
        <v>74</v>
      </c>
      <c r="B260" t="s">
        <v>75</v>
      </c>
      <c r="C260" t="s">
        <v>186</v>
      </c>
      <c r="D260" t="s">
        <v>186</v>
      </c>
      <c r="E260" t="s">
        <v>28</v>
      </c>
      <c r="F260" t="s">
        <v>28</v>
      </c>
      <c r="H260" s="7" t="s">
        <v>187</v>
      </c>
      <c r="I260" s="11" t="s">
        <v>188</v>
      </c>
      <c r="J260" s="3" t="s">
        <v>40</v>
      </c>
      <c r="K260">
        <v>0.20100000000000001</v>
      </c>
      <c r="L260">
        <v>0.20100000000000001</v>
      </c>
      <c r="M260" s="2">
        <v>44348</v>
      </c>
      <c r="N260" s="2">
        <v>44804</v>
      </c>
      <c r="O260">
        <v>0.20100000000000001</v>
      </c>
      <c r="P260" s="17">
        <v>0</v>
      </c>
      <c r="Q260" s="17">
        <v>0</v>
      </c>
      <c r="R260">
        <v>0</v>
      </c>
      <c r="S260" s="17">
        <f>Q260-R260</f>
        <v>0</v>
      </c>
      <c r="T260">
        <v>0</v>
      </c>
      <c r="U260">
        <v>0</v>
      </c>
      <c r="V260">
        <v>0</v>
      </c>
      <c r="W260" s="17">
        <f>O260-(R260+S260+T260+U260+V260)</f>
        <v>0.20100000000000001</v>
      </c>
      <c r="X260" s="2">
        <v>46230</v>
      </c>
    </row>
    <row r="261" spans="1:25" ht="15.75" customHeight="1" x14ac:dyDescent="0.2">
      <c r="A261" t="s">
        <v>74</v>
      </c>
      <c r="B261" t="s">
        <v>75</v>
      </c>
      <c r="C261" t="s">
        <v>186</v>
      </c>
      <c r="D261" t="s">
        <v>186</v>
      </c>
      <c r="E261" t="s">
        <v>28</v>
      </c>
      <c r="F261" t="s">
        <v>28</v>
      </c>
      <c r="H261" s="7" t="s">
        <v>661</v>
      </c>
      <c r="I261" s="11" t="s">
        <v>662</v>
      </c>
      <c r="J261" s="3" t="s">
        <v>228</v>
      </c>
      <c r="K261">
        <v>4.0570000000000004</v>
      </c>
      <c r="L261">
        <v>6.6040000000000001</v>
      </c>
      <c r="M261" s="2">
        <v>44713</v>
      </c>
      <c r="O261">
        <v>4.0570000000000004</v>
      </c>
      <c r="P261" s="17">
        <v>1.2609999999999999</v>
      </c>
      <c r="Q261" s="17">
        <v>1.2609999999999999</v>
      </c>
      <c r="R261">
        <v>0.14599999999999999</v>
      </c>
      <c r="S261" s="17">
        <f>0.418+0.552+0.145</f>
        <v>1.115</v>
      </c>
      <c r="T261">
        <f>0.345+0.514+0.131</f>
        <v>0.99</v>
      </c>
      <c r="U261">
        <v>1.1080000000000001</v>
      </c>
      <c r="V261">
        <f>0.064+0.428+0.016+0.103+0.087</f>
        <v>0.69799999999999995</v>
      </c>
      <c r="W261" s="17">
        <v>0</v>
      </c>
      <c r="X261" s="2">
        <v>46230</v>
      </c>
    </row>
    <row r="262" spans="1:25" ht="15.75" customHeight="1" x14ac:dyDescent="0.2">
      <c r="A262" t="s">
        <v>74</v>
      </c>
      <c r="B262" t="s">
        <v>75</v>
      </c>
      <c r="C262" t="s">
        <v>186</v>
      </c>
      <c r="D262" t="s">
        <v>186</v>
      </c>
      <c r="E262" t="s">
        <v>28</v>
      </c>
      <c r="F262" t="s">
        <v>28</v>
      </c>
      <c r="H262" s="7" t="s">
        <v>663</v>
      </c>
      <c r="I262" s="11" t="s">
        <v>664</v>
      </c>
      <c r="J262" s="3" t="s">
        <v>91</v>
      </c>
      <c r="K262">
        <v>0.73899999999999999</v>
      </c>
      <c r="L262">
        <v>0.73899999999999999</v>
      </c>
      <c r="M262" s="2">
        <v>44462</v>
      </c>
      <c r="N262" s="2">
        <v>44826</v>
      </c>
      <c r="O262">
        <v>0.73899999999999999</v>
      </c>
      <c r="P262" s="17">
        <v>0</v>
      </c>
      <c r="Q262" s="17">
        <v>0</v>
      </c>
      <c r="R262">
        <v>0</v>
      </c>
      <c r="S262" s="17">
        <f>Q262-R262</f>
        <v>0</v>
      </c>
      <c r="T262">
        <v>0</v>
      </c>
      <c r="U262">
        <v>0</v>
      </c>
      <c r="V262">
        <v>0</v>
      </c>
      <c r="W262" s="17">
        <f>O262-(R262+S262+T262+U262+V262)</f>
        <v>0.73899999999999999</v>
      </c>
      <c r="X262" s="2">
        <v>46230</v>
      </c>
    </row>
    <row r="263" spans="1:25" ht="15.75" customHeight="1" x14ac:dyDescent="0.2">
      <c r="A263" t="s">
        <v>74</v>
      </c>
      <c r="B263" t="s">
        <v>75</v>
      </c>
      <c r="C263" t="s">
        <v>186</v>
      </c>
      <c r="D263" t="s">
        <v>186</v>
      </c>
      <c r="E263" t="s">
        <v>28</v>
      </c>
      <c r="F263" t="s">
        <v>28</v>
      </c>
      <c r="H263" s="7" t="s">
        <v>665</v>
      </c>
      <c r="I263" s="11" t="s">
        <v>666</v>
      </c>
      <c r="J263" s="3" t="s">
        <v>91</v>
      </c>
      <c r="K263">
        <v>3.3000000000000002E-2</v>
      </c>
      <c r="L263">
        <v>3.3000000000000002E-2</v>
      </c>
      <c r="M263" s="2">
        <v>45499</v>
      </c>
      <c r="N263" s="2">
        <v>45530</v>
      </c>
      <c r="O263">
        <v>3.3000000000000002E-2</v>
      </c>
      <c r="P263" s="17">
        <v>0</v>
      </c>
      <c r="Q263" s="17">
        <v>0</v>
      </c>
      <c r="R263">
        <v>0</v>
      </c>
      <c r="S263" s="17">
        <f>Q263-R263</f>
        <v>0</v>
      </c>
      <c r="T263">
        <v>3.3000000000000002E-2</v>
      </c>
      <c r="U263">
        <v>0</v>
      </c>
      <c r="V263">
        <v>0</v>
      </c>
      <c r="W263" s="17">
        <f>O263-(R263+S263+T263+U263+V263)</f>
        <v>0</v>
      </c>
      <c r="X263" s="2">
        <v>46230</v>
      </c>
    </row>
    <row r="264" spans="1:25" ht="15.75" customHeight="1" x14ac:dyDescent="0.2">
      <c r="A264" t="s">
        <v>74</v>
      </c>
      <c r="B264" t="s">
        <v>378</v>
      </c>
      <c r="C264" t="s">
        <v>400</v>
      </c>
      <c r="D264" t="s">
        <v>401</v>
      </c>
      <c r="E264" t="s">
        <v>78</v>
      </c>
      <c r="F264" t="s">
        <v>78</v>
      </c>
      <c r="H264" s="7" t="s">
        <v>402</v>
      </c>
      <c r="I264" s="12" t="s">
        <v>403</v>
      </c>
      <c r="J264" s="3" t="s">
        <v>91</v>
      </c>
      <c r="K264">
        <v>0.15</v>
      </c>
      <c r="L264">
        <v>0.29899999999999999</v>
      </c>
      <c r="M264" s="2">
        <v>46169</v>
      </c>
      <c r="O264" s="17">
        <v>0.15</v>
      </c>
      <c r="P264" s="17">
        <v>0.15</v>
      </c>
      <c r="Q264" s="17">
        <v>0.15</v>
      </c>
      <c r="R264">
        <v>0.15</v>
      </c>
      <c r="S264">
        <v>0</v>
      </c>
      <c r="T264">
        <v>0</v>
      </c>
      <c r="U264">
        <v>0</v>
      </c>
      <c r="V264">
        <v>0</v>
      </c>
      <c r="W264">
        <v>0</v>
      </c>
      <c r="X264" s="2">
        <v>46230</v>
      </c>
    </row>
    <row r="265" spans="1:25" ht="15.75" customHeight="1" x14ac:dyDescent="0.2">
      <c r="A265" t="s">
        <v>74</v>
      </c>
      <c r="B265" t="s">
        <v>75</v>
      </c>
      <c r="C265" t="s">
        <v>316</v>
      </c>
      <c r="D265" t="s">
        <v>316</v>
      </c>
      <c r="E265" t="s">
        <v>44</v>
      </c>
      <c r="F265" t="s">
        <v>44</v>
      </c>
      <c r="H265" s="7" t="s">
        <v>317</v>
      </c>
      <c r="I265" s="11" t="s">
        <v>318</v>
      </c>
      <c r="J265" s="3" t="s">
        <v>91</v>
      </c>
      <c r="K265">
        <v>0.39700000000000002</v>
      </c>
      <c r="L265">
        <v>0.39700000000000002</v>
      </c>
      <c r="M265" s="2">
        <v>44337</v>
      </c>
      <c r="N265" s="2">
        <v>44767</v>
      </c>
      <c r="O265">
        <v>0.39700000000000002</v>
      </c>
      <c r="P265" s="17">
        <v>0</v>
      </c>
      <c r="Q265" s="17">
        <v>0</v>
      </c>
      <c r="R265">
        <v>0</v>
      </c>
      <c r="S265" s="17">
        <f t="shared" ref="S265:S276" si="12">Q265-R265</f>
        <v>0</v>
      </c>
      <c r="T265">
        <v>0</v>
      </c>
      <c r="U265">
        <v>0</v>
      </c>
      <c r="V265">
        <v>0</v>
      </c>
      <c r="W265" s="17">
        <f>O265-(R265+S265+T265+U265+V265)</f>
        <v>0.39700000000000002</v>
      </c>
      <c r="X265" s="2">
        <v>46230</v>
      </c>
    </row>
    <row r="266" spans="1:25" ht="15.75" customHeight="1" x14ac:dyDescent="0.2">
      <c r="A266" t="s">
        <v>74</v>
      </c>
      <c r="B266" t="s">
        <v>75</v>
      </c>
      <c r="C266" t="s">
        <v>316</v>
      </c>
      <c r="D266" t="s">
        <v>316</v>
      </c>
      <c r="E266" t="s">
        <v>44</v>
      </c>
      <c r="F266" t="s">
        <v>44</v>
      </c>
      <c r="H266" s="7" t="s">
        <v>629</v>
      </c>
      <c r="I266" s="11" t="s">
        <v>191</v>
      </c>
      <c r="J266" s="3" t="s">
        <v>91</v>
      </c>
      <c r="K266">
        <v>2.5000000000000001E-2</v>
      </c>
      <c r="L266">
        <v>2.5000000000000001E-2</v>
      </c>
      <c r="M266" s="2">
        <v>44785</v>
      </c>
      <c r="N266" s="2">
        <v>45149</v>
      </c>
      <c r="O266">
        <v>2.5000000000000001E-2</v>
      </c>
      <c r="P266" s="17">
        <v>0</v>
      </c>
      <c r="Q266" s="17">
        <v>0</v>
      </c>
      <c r="R266">
        <v>0</v>
      </c>
      <c r="S266" s="17">
        <f t="shared" si="12"/>
        <v>0</v>
      </c>
      <c r="T266">
        <v>0</v>
      </c>
      <c r="U266">
        <v>0</v>
      </c>
      <c r="V266">
        <v>2.5000000000000001E-2</v>
      </c>
      <c r="W266" s="17">
        <f>O266-(R266+S266+T266+U266+V266)</f>
        <v>0</v>
      </c>
      <c r="X266" s="2">
        <v>46230</v>
      </c>
    </row>
    <row r="267" spans="1:25" ht="15.75" customHeight="1" x14ac:dyDescent="0.2">
      <c r="A267" t="s">
        <v>74</v>
      </c>
      <c r="B267" t="s">
        <v>75</v>
      </c>
      <c r="C267" t="s">
        <v>316</v>
      </c>
      <c r="D267" t="s">
        <v>316</v>
      </c>
      <c r="E267" t="s">
        <v>44</v>
      </c>
      <c r="F267" t="s">
        <v>44</v>
      </c>
      <c r="H267" s="7" t="s">
        <v>630</v>
      </c>
      <c r="I267" s="11" t="s">
        <v>631</v>
      </c>
      <c r="J267" s="3" t="s">
        <v>91</v>
      </c>
      <c r="K267">
        <v>0.127</v>
      </c>
      <c r="L267">
        <v>0.127</v>
      </c>
      <c r="M267" s="2">
        <v>44834</v>
      </c>
      <c r="N267" s="2">
        <v>45198</v>
      </c>
      <c r="O267">
        <v>0.127</v>
      </c>
      <c r="P267" s="17">
        <v>0</v>
      </c>
      <c r="Q267" s="17">
        <v>0</v>
      </c>
      <c r="R267">
        <v>0</v>
      </c>
      <c r="S267" s="17">
        <f t="shared" si="12"/>
        <v>0</v>
      </c>
      <c r="T267">
        <v>0</v>
      </c>
      <c r="U267">
        <v>6.4000000000000001E-2</v>
      </c>
      <c r="V267">
        <v>6.4000000000000001E-2</v>
      </c>
      <c r="W267" s="17">
        <v>0</v>
      </c>
      <c r="X267" s="2">
        <v>46230</v>
      </c>
    </row>
    <row r="268" spans="1:25" ht="15.75" customHeight="1" x14ac:dyDescent="0.2">
      <c r="A268" t="s">
        <v>74</v>
      </c>
      <c r="B268" t="s">
        <v>75</v>
      </c>
      <c r="C268" t="s">
        <v>316</v>
      </c>
      <c r="D268" t="s">
        <v>316</v>
      </c>
      <c r="E268" t="s">
        <v>44</v>
      </c>
      <c r="F268" t="s">
        <v>44</v>
      </c>
      <c r="H268" s="7" t="s">
        <v>632</v>
      </c>
      <c r="I268" s="11" t="s">
        <v>633</v>
      </c>
      <c r="J268" s="3" t="s">
        <v>91</v>
      </c>
      <c r="K268">
        <v>0.127</v>
      </c>
      <c r="L268">
        <v>0.19</v>
      </c>
      <c r="M268" s="2">
        <v>45565</v>
      </c>
      <c r="O268">
        <v>0.127</v>
      </c>
      <c r="P268" s="17">
        <v>6.3E-2</v>
      </c>
      <c r="Q268" s="17">
        <v>6.3E-2</v>
      </c>
      <c r="R268">
        <v>0</v>
      </c>
      <c r="S268" s="17">
        <f t="shared" si="12"/>
        <v>6.3E-2</v>
      </c>
      <c r="T268">
        <v>6.3E-2</v>
      </c>
      <c r="U268">
        <v>0</v>
      </c>
      <c r="V268">
        <v>0</v>
      </c>
      <c r="W268" s="17">
        <v>0</v>
      </c>
      <c r="X268" s="2">
        <v>46230</v>
      </c>
    </row>
    <row r="269" spans="1:25" ht="15.75" customHeight="1" x14ac:dyDescent="0.2">
      <c r="A269" t="s">
        <v>74</v>
      </c>
      <c r="B269" t="s">
        <v>75</v>
      </c>
      <c r="C269" t="s">
        <v>297</v>
      </c>
      <c r="D269" t="s">
        <v>298</v>
      </c>
      <c r="E269" t="s">
        <v>78</v>
      </c>
      <c r="F269" t="s">
        <v>78</v>
      </c>
      <c r="H269" s="7" t="s">
        <v>299</v>
      </c>
      <c r="I269" s="11" t="s">
        <v>300</v>
      </c>
      <c r="J269" s="3" t="s">
        <v>31</v>
      </c>
      <c r="K269">
        <v>4.1000000000000002E-2</v>
      </c>
      <c r="L269">
        <v>9.6000000000000002E-2</v>
      </c>
      <c r="M269" s="2">
        <v>46185</v>
      </c>
      <c r="O269">
        <v>4.1000000000000002E-2</v>
      </c>
      <c r="P269">
        <v>4.1000000000000002E-2</v>
      </c>
      <c r="Q269">
        <v>4.1000000000000002E-2</v>
      </c>
      <c r="R269">
        <v>4.1000000000000002E-2</v>
      </c>
      <c r="S269" s="17">
        <f t="shared" si="12"/>
        <v>0</v>
      </c>
      <c r="T269">
        <v>0</v>
      </c>
      <c r="U269">
        <v>0</v>
      </c>
      <c r="V269">
        <v>0</v>
      </c>
      <c r="W269" s="17">
        <f t="shared" ref="W269:W276" si="13">O269-(R269+S269+T269+U269+V269)</f>
        <v>0</v>
      </c>
      <c r="X269" s="2">
        <v>46230</v>
      </c>
    </row>
    <row r="270" spans="1:25" ht="15.75" customHeight="1" x14ac:dyDescent="0.2">
      <c r="A270" t="s">
        <v>74</v>
      </c>
      <c r="B270" t="s">
        <v>75</v>
      </c>
      <c r="C270" t="s">
        <v>1061</v>
      </c>
      <c r="D270" t="s">
        <v>298</v>
      </c>
      <c r="E270" t="s">
        <v>78</v>
      </c>
      <c r="F270" t="s">
        <v>78</v>
      </c>
      <c r="H270" s="7" t="s">
        <v>713</v>
      </c>
      <c r="I270" s="11" t="s">
        <v>572</v>
      </c>
      <c r="J270" s="3" t="s">
        <v>40</v>
      </c>
      <c r="K270">
        <v>5.0999999999999997E-2</v>
      </c>
      <c r="L270">
        <v>5.0999999999999997E-2</v>
      </c>
      <c r="M270" s="2">
        <v>44754</v>
      </c>
      <c r="N270" s="2">
        <v>45118</v>
      </c>
      <c r="O270">
        <v>5.0999999999999997E-2</v>
      </c>
      <c r="P270" s="17">
        <v>0</v>
      </c>
      <c r="Q270" s="17">
        <v>0</v>
      </c>
      <c r="R270">
        <v>0</v>
      </c>
      <c r="S270" s="17">
        <f t="shared" si="12"/>
        <v>0</v>
      </c>
      <c r="T270">
        <v>0</v>
      </c>
      <c r="U270">
        <v>0</v>
      </c>
      <c r="V270">
        <v>5.0999999999999997E-2</v>
      </c>
      <c r="W270" s="17">
        <f t="shared" si="13"/>
        <v>0</v>
      </c>
      <c r="X270" s="2">
        <v>46230</v>
      </c>
    </row>
    <row r="271" spans="1:25" ht="15.75" customHeight="1" x14ac:dyDescent="0.2">
      <c r="A271" t="s">
        <v>74</v>
      </c>
      <c r="B271" t="s">
        <v>75</v>
      </c>
      <c r="C271" t="s">
        <v>1053</v>
      </c>
      <c r="D271" t="s">
        <v>298</v>
      </c>
      <c r="E271" t="s">
        <v>44</v>
      </c>
      <c r="F271" t="s">
        <v>44</v>
      </c>
      <c r="H271" s="7" t="s">
        <v>849</v>
      </c>
      <c r="I271" s="11" t="s">
        <v>850</v>
      </c>
      <c r="J271" s="3" t="s">
        <v>40</v>
      </c>
      <c r="K271">
        <v>0.187</v>
      </c>
      <c r="L271">
        <v>0.187</v>
      </c>
      <c r="M271" s="2">
        <v>45175</v>
      </c>
      <c r="N271" s="2">
        <v>45540</v>
      </c>
      <c r="O271">
        <v>0.187</v>
      </c>
      <c r="P271" s="17">
        <v>0</v>
      </c>
      <c r="Q271" s="17">
        <v>0</v>
      </c>
      <c r="R271">
        <v>0</v>
      </c>
      <c r="S271" s="17">
        <f t="shared" si="12"/>
        <v>0</v>
      </c>
      <c r="T271">
        <v>0</v>
      </c>
      <c r="U271">
        <v>0.187</v>
      </c>
      <c r="V271">
        <v>0</v>
      </c>
      <c r="W271" s="17">
        <f t="shared" si="13"/>
        <v>0</v>
      </c>
      <c r="X271" s="2">
        <v>46230</v>
      </c>
    </row>
    <row r="272" spans="1:25" ht="15.75" customHeight="1" x14ac:dyDescent="0.2">
      <c r="A272" t="s">
        <v>74</v>
      </c>
      <c r="B272" t="s">
        <v>75</v>
      </c>
      <c r="C272" t="s">
        <v>840</v>
      </c>
      <c r="D272" t="s">
        <v>298</v>
      </c>
      <c r="E272" t="s">
        <v>44</v>
      </c>
      <c r="F272" t="s">
        <v>44</v>
      </c>
      <c r="H272" s="7" t="s">
        <v>843</v>
      </c>
      <c r="I272" s="11" t="s">
        <v>844</v>
      </c>
      <c r="J272" s="3" t="s">
        <v>40</v>
      </c>
      <c r="K272">
        <v>3.2800000000000003E-2</v>
      </c>
      <c r="L272">
        <v>3.2800000000000003E-2</v>
      </c>
      <c r="M272" s="2">
        <v>45444</v>
      </c>
      <c r="N272" s="2">
        <v>45808</v>
      </c>
      <c r="O272">
        <v>3.2800000000000003E-2</v>
      </c>
      <c r="P272" s="17">
        <v>0</v>
      </c>
      <c r="Q272" s="17">
        <v>0</v>
      </c>
      <c r="R272">
        <v>0</v>
      </c>
      <c r="S272" s="17">
        <f t="shared" si="12"/>
        <v>0</v>
      </c>
      <c r="T272">
        <v>3.3000000000000002E-2</v>
      </c>
      <c r="U272">
        <v>0</v>
      </c>
      <c r="V272">
        <v>0</v>
      </c>
      <c r="W272" s="17">
        <f t="shared" si="13"/>
        <v>-1.9999999999999879E-4</v>
      </c>
      <c r="X272" s="2">
        <v>46230</v>
      </c>
      <c r="Y272" s="7" t="s">
        <v>1062</v>
      </c>
    </row>
    <row r="273" spans="1:27" ht="15.75" customHeight="1" x14ac:dyDescent="0.2">
      <c r="A273" t="s">
        <v>74</v>
      </c>
      <c r="B273" t="s">
        <v>75</v>
      </c>
      <c r="C273" t="s">
        <v>1053</v>
      </c>
      <c r="D273" t="s">
        <v>298</v>
      </c>
      <c r="E273" t="s">
        <v>44</v>
      </c>
      <c r="F273" t="s">
        <v>44</v>
      </c>
      <c r="H273" s="7" t="s">
        <v>851</v>
      </c>
      <c r="I273" s="11" t="s">
        <v>852</v>
      </c>
      <c r="J273" s="3" t="s">
        <v>40</v>
      </c>
      <c r="K273">
        <v>0.187</v>
      </c>
      <c r="L273">
        <v>0.187</v>
      </c>
      <c r="M273" s="2">
        <v>45541</v>
      </c>
      <c r="N273" s="2">
        <v>45905</v>
      </c>
      <c r="O273">
        <v>0.187</v>
      </c>
      <c r="P273" s="17">
        <v>0</v>
      </c>
      <c r="Q273" s="17">
        <v>0</v>
      </c>
      <c r="R273">
        <v>0</v>
      </c>
      <c r="S273" s="17">
        <f t="shared" si="12"/>
        <v>0</v>
      </c>
      <c r="T273">
        <v>0.187</v>
      </c>
      <c r="U273">
        <v>0</v>
      </c>
      <c r="V273">
        <v>0</v>
      </c>
      <c r="W273" s="17">
        <f t="shared" si="13"/>
        <v>0</v>
      </c>
      <c r="X273" s="2">
        <v>46230</v>
      </c>
    </row>
    <row r="274" spans="1:27" ht="15.75" customHeight="1" x14ac:dyDescent="0.2">
      <c r="A274" t="s">
        <v>74</v>
      </c>
      <c r="B274" t="s">
        <v>75</v>
      </c>
      <c r="C274" t="s">
        <v>685</v>
      </c>
      <c r="D274" t="s">
        <v>298</v>
      </c>
      <c r="E274" t="s">
        <v>44</v>
      </c>
      <c r="F274" t="s">
        <v>44</v>
      </c>
      <c r="H274" s="7" t="s">
        <v>686</v>
      </c>
      <c r="I274" s="11" t="s">
        <v>687</v>
      </c>
      <c r="J274" s="3" t="s">
        <v>40</v>
      </c>
      <c r="K274">
        <v>0.222</v>
      </c>
      <c r="L274">
        <v>0.222</v>
      </c>
      <c r="M274" s="2">
        <v>45930</v>
      </c>
      <c r="O274" s="17">
        <v>0.222</v>
      </c>
      <c r="P274" s="17">
        <v>0.222</v>
      </c>
      <c r="Q274" s="17">
        <v>0.222</v>
      </c>
      <c r="R274">
        <v>0</v>
      </c>
      <c r="S274" s="17">
        <f t="shared" si="12"/>
        <v>0.222</v>
      </c>
      <c r="T274">
        <v>0</v>
      </c>
      <c r="U274">
        <v>0</v>
      </c>
      <c r="V274">
        <v>0</v>
      </c>
      <c r="W274" s="17">
        <f t="shared" si="13"/>
        <v>0</v>
      </c>
      <c r="X274" s="2">
        <v>46230</v>
      </c>
    </row>
    <row r="275" spans="1:27" ht="15.75" customHeight="1" x14ac:dyDescent="0.2">
      <c r="A275" t="s">
        <v>74</v>
      </c>
      <c r="B275" t="s">
        <v>75</v>
      </c>
      <c r="C275" t="s">
        <v>297</v>
      </c>
      <c r="D275" t="s">
        <v>298</v>
      </c>
      <c r="E275" t="s">
        <v>78</v>
      </c>
      <c r="F275" t="s">
        <v>78</v>
      </c>
      <c r="H275" s="7" t="s">
        <v>569</v>
      </c>
      <c r="I275" s="11" t="s">
        <v>570</v>
      </c>
      <c r="J275" s="3" t="s">
        <v>91</v>
      </c>
      <c r="K275">
        <v>3.5999999999999997E-2</v>
      </c>
      <c r="L275">
        <v>3.5999999999999997E-2</v>
      </c>
      <c r="M275" s="2">
        <v>45698</v>
      </c>
      <c r="N275" s="2">
        <v>45719</v>
      </c>
      <c r="O275" s="17">
        <v>3.5999999999999997E-2</v>
      </c>
      <c r="P275" s="17">
        <v>3.5999999999999997E-2</v>
      </c>
      <c r="Q275" s="17">
        <v>3.5999999999999997E-2</v>
      </c>
      <c r="R275">
        <v>0</v>
      </c>
      <c r="S275" s="17">
        <f t="shared" si="12"/>
        <v>3.5999999999999997E-2</v>
      </c>
      <c r="T275">
        <v>0</v>
      </c>
      <c r="U275">
        <v>0</v>
      </c>
      <c r="V275">
        <v>0</v>
      </c>
      <c r="W275" s="17">
        <f t="shared" si="13"/>
        <v>0</v>
      </c>
      <c r="X275" s="2">
        <v>46230</v>
      </c>
    </row>
    <row r="276" spans="1:27" ht="15.75" customHeight="1" x14ac:dyDescent="0.2">
      <c r="A276" t="s">
        <v>74</v>
      </c>
      <c r="B276" t="s">
        <v>75</v>
      </c>
      <c r="C276" t="s">
        <v>297</v>
      </c>
      <c r="D276" t="s">
        <v>298</v>
      </c>
      <c r="E276" t="s">
        <v>78</v>
      </c>
      <c r="F276" t="s">
        <v>78</v>
      </c>
      <c r="H276" s="7" t="s">
        <v>571</v>
      </c>
      <c r="I276" s="11" t="s">
        <v>572</v>
      </c>
      <c r="J276" s="3" t="s">
        <v>91</v>
      </c>
      <c r="K276">
        <v>9.0999999999999998E-2</v>
      </c>
      <c r="L276">
        <v>9.0999999999999998E-2</v>
      </c>
      <c r="M276" s="2">
        <v>45119</v>
      </c>
      <c r="O276">
        <v>9.0999999999999998E-2</v>
      </c>
      <c r="P276" s="17">
        <v>0.03</v>
      </c>
      <c r="Q276" s="17">
        <v>0.03</v>
      </c>
      <c r="R276">
        <v>0</v>
      </c>
      <c r="S276" s="17">
        <f t="shared" si="12"/>
        <v>0.03</v>
      </c>
      <c r="T276">
        <v>3.2000000000000001E-2</v>
      </c>
      <c r="U276">
        <v>2.9000000000000001E-2</v>
      </c>
      <c r="V276">
        <v>0</v>
      </c>
      <c r="W276" s="17">
        <f t="shared" si="13"/>
        <v>0</v>
      </c>
      <c r="X276" s="2">
        <v>46230</v>
      </c>
      <c r="AA276" s="17"/>
    </row>
    <row r="277" spans="1:27" ht="15.75" customHeight="1" x14ac:dyDescent="0.2">
      <c r="A277" t="s">
        <v>74</v>
      </c>
      <c r="B277" t="s">
        <v>378</v>
      </c>
      <c r="C277" t="s">
        <v>379</v>
      </c>
      <c r="D277" t="s">
        <v>380</v>
      </c>
      <c r="E277" t="s">
        <v>44</v>
      </c>
      <c r="F277" t="s">
        <v>44</v>
      </c>
      <c r="H277" s="7" t="s">
        <v>381</v>
      </c>
      <c r="I277" s="12" t="s">
        <v>382</v>
      </c>
      <c r="J277" s="3" t="s">
        <v>91</v>
      </c>
      <c r="K277">
        <v>0.21199999999999999</v>
      </c>
      <c r="L277">
        <v>0.21199999999999999</v>
      </c>
      <c r="M277" s="2">
        <v>46167</v>
      </c>
      <c r="O277" s="17">
        <v>0.21199999999999999</v>
      </c>
      <c r="P277" s="17">
        <v>0.21199999999999999</v>
      </c>
      <c r="Q277" s="17">
        <v>0.21199999999999999</v>
      </c>
      <c r="R277">
        <v>0.21199999999999999</v>
      </c>
      <c r="S277">
        <v>0</v>
      </c>
      <c r="T277">
        <v>0</v>
      </c>
      <c r="U277">
        <v>0</v>
      </c>
      <c r="V277">
        <v>0</v>
      </c>
      <c r="W277">
        <v>0</v>
      </c>
      <c r="X277" s="2">
        <v>46230</v>
      </c>
    </row>
    <row r="278" spans="1:27" ht="15.75" customHeight="1" x14ac:dyDescent="0.2">
      <c r="A278" t="s">
        <v>74</v>
      </c>
      <c r="B278" t="s">
        <v>75</v>
      </c>
      <c r="C278" t="s">
        <v>166</v>
      </c>
      <c r="D278" t="s">
        <v>448</v>
      </c>
      <c r="E278" t="s">
        <v>78</v>
      </c>
      <c r="F278" t="s">
        <v>78</v>
      </c>
      <c r="H278" s="7" t="s">
        <v>609</v>
      </c>
      <c r="I278" s="11" t="s">
        <v>610</v>
      </c>
      <c r="J278" s="3" t="s">
        <v>174</v>
      </c>
      <c r="K278">
        <v>3.9489999999999998</v>
      </c>
      <c r="L278">
        <v>3.9489999999999998</v>
      </c>
      <c r="M278" s="2">
        <v>45498</v>
      </c>
      <c r="O278">
        <v>3.9489999999999998</v>
      </c>
      <c r="P278" s="17">
        <v>2.7090000000000001</v>
      </c>
      <c r="Q278" s="17">
        <v>2.7090000000000001</v>
      </c>
      <c r="R278">
        <v>1.4059999999999999</v>
      </c>
      <c r="S278" s="17">
        <v>1.304</v>
      </c>
      <c r="T278">
        <v>1.24</v>
      </c>
      <c r="U278">
        <v>0</v>
      </c>
      <c r="V278">
        <v>0</v>
      </c>
      <c r="W278" s="17">
        <v>0</v>
      </c>
      <c r="X278" s="2">
        <v>46230</v>
      </c>
    </row>
    <row r="279" spans="1:27" ht="15.75" customHeight="1" x14ac:dyDescent="0.2">
      <c r="A279" t="s">
        <v>74</v>
      </c>
      <c r="B279" t="s">
        <v>75</v>
      </c>
      <c r="C279" t="s">
        <v>166</v>
      </c>
      <c r="D279" t="s">
        <v>448</v>
      </c>
      <c r="E279" t="s">
        <v>44</v>
      </c>
      <c r="F279" t="s">
        <v>44</v>
      </c>
      <c r="H279" s="7" t="s">
        <v>611</v>
      </c>
      <c r="I279" s="11" t="s">
        <v>612</v>
      </c>
      <c r="J279" s="3" t="s">
        <v>174</v>
      </c>
      <c r="K279">
        <v>5.0999999999999996</v>
      </c>
      <c r="L279">
        <v>5.0999999999999996</v>
      </c>
      <c r="M279" s="2">
        <v>45928</v>
      </c>
      <c r="O279" s="17">
        <v>5.0999999999999996</v>
      </c>
      <c r="P279" s="17">
        <v>5.0999999999999996</v>
      </c>
      <c r="Q279" s="17">
        <v>5.0999999999999996</v>
      </c>
      <c r="R279">
        <v>0</v>
      </c>
      <c r="S279" s="17">
        <f>Q279-R279</f>
        <v>5.0999999999999996</v>
      </c>
      <c r="T279">
        <v>0</v>
      </c>
      <c r="U279">
        <v>0</v>
      </c>
      <c r="V279">
        <v>0</v>
      </c>
      <c r="W279" s="17">
        <f>O279-(R279+S279+T279+U279+V279)</f>
        <v>0</v>
      </c>
      <c r="X279" s="2">
        <v>46230</v>
      </c>
    </row>
    <row r="280" spans="1:27" ht="15.75" customHeight="1" x14ac:dyDescent="0.2">
      <c r="A280" t="s">
        <v>74</v>
      </c>
      <c r="B280" t="s">
        <v>248</v>
      </c>
      <c r="C280" t="s">
        <v>249</v>
      </c>
      <c r="D280" t="s">
        <v>250</v>
      </c>
      <c r="E280" t="s">
        <v>44</v>
      </c>
      <c r="F280" t="s">
        <v>44</v>
      </c>
      <c r="H280" s="7" t="s">
        <v>251</v>
      </c>
      <c r="I280" s="11" t="s">
        <v>252</v>
      </c>
      <c r="J280" s="3" t="s">
        <v>91</v>
      </c>
      <c r="K280">
        <v>2</v>
      </c>
      <c r="L280">
        <v>2</v>
      </c>
      <c r="M280" s="2">
        <v>45562</v>
      </c>
      <c r="N280" s="2">
        <v>46042</v>
      </c>
      <c r="O280" s="17">
        <v>2</v>
      </c>
      <c r="P280" s="17">
        <v>0</v>
      </c>
      <c r="Q280" s="17">
        <v>0</v>
      </c>
      <c r="R280">
        <v>0</v>
      </c>
      <c r="S280" s="17">
        <f>Q280-R280</f>
        <v>0</v>
      </c>
      <c r="T280">
        <v>2</v>
      </c>
      <c r="U280">
        <v>0</v>
      </c>
      <c r="V280">
        <v>0</v>
      </c>
      <c r="W280" s="17">
        <f>O280-(R280+S280+T280+U280+V280)</f>
        <v>0</v>
      </c>
      <c r="X280" s="2">
        <v>46230</v>
      </c>
    </row>
    <row r="281" spans="1:27" ht="15.75" customHeight="1" x14ac:dyDescent="0.2">
      <c r="A281" t="s">
        <v>74</v>
      </c>
      <c r="B281" t="s">
        <v>115</v>
      </c>
      <c r="C281" t="s">
        <v>116</v>
      </c>
      <c r="D281" t="s">
        <v>116</v>
      </c>
      <c r="E281" t="s">
        <v>44</v>
      </c>
      <c r="F281" t="s">
        <v>44</v>
      </c>
      <c r="H281" s="7" t="s">
        <v>117</v>
      </c>
      <c r="I281" s="11" t="s">
        <v>118</v>
      </c>
      <c r="J281" s="3" t="s">
        <v>31</v>
      </c>
      <c r="K281">
        <v>24</v>
      </c>
      <c r="L281">
        <v>24</v>
      </c>
      <c r="M281" s="2">
        <v>43726</v>
      </c>
      <c r="N281" s="2">
        <v>45734</v>
      </c>
      <c r="O281" s="17">
        <v>10.026</v>
      </c>
      <c r="P281" s="17">
        <v>0</v>
      </c>
      <c r="Q281" s="17">
        <v>0</v>
      </c>
      <c r="R281">
        <v>0</v>
      </c>
      <c r="S281">
        <v>0</v>
      </c>
      <c r="T281">
        <v>1.4890000000000001</v>
      </c>
      <c r="U281">
        <f>2.933713-0.16278</f>
        <v>2.7709329999999999</v>
      </c>
      <c r="V281">
        <f>0.189+2.744-0.038+0.11</f>
        <v>3.0050000000000003</v>
      </c>
      <c r="W281">
        <f>0.018+2.743</f>
        <v>2.7609999999999997</v>
      </c>
      <c r="X281" s="2">
        <v>46230</v>
      </c>
      <c r="Y281" s="7" t="s">
        <v>1063</v>
      </c>
    </row>
    <row r="282" spans="1:27" ht="15.75" customHeight="1" x14ac:dyDescent="0.2">
      <c r="A282" t="s">
        <v>74</v>
      </c>
      <c r="B282" t="s">
        <v>115</v>
      </c>
      <c r="C282" t="s">
        <v>116</v>
      </c>
      <c r="D282" t="s">
        <v>116</v>
      </c>
      <c r="E282" t="s">
        <v>44</v>
      </c>
      <c r="F282" t="s">
        <v>44</v>
      </c>
      <c r="H282" s="7" t="s">
        <v>679</v>
      </c>
      <c r="I282" s="11" t="s">
        <v>680</v>
      </c>
      <c r="J282" s="3" t="s">
        <v>91</v>
      </c>
      <c r="K282">
        <v>14.1</v>
      </c>
      <c r="L282">
        <v>23.4</v>
      </c>
      <c r="M282" s="2">
        <v>45735</v>
      </c>
      <c r="O282" s="17">
        <v>14.081</v>
      </c>
      <c r="P282" s="17">
        <v>14.081</v>
      </c>
      <c r="Q282" s="17">
        <v>14.081</v>
      </c>
      <c r="R282">
        <v>6.83</v>
      </c>
      <c r="S282" s="17">
        <v>7.2510000000000003</v>
      </c>
      <c r="T282">
        <v>0</v>
      </c>
      <c r="U282">
        <v>0</v>
      </c>
      <c r="V282">
        <v>0</v>
      </c>
      <c r="W282" s="17">
        <v>0</v>
      </c>
      <c r="X282" s="2">
        <v>46230</v>
      </c>
    </row>
    <row r="283" spans="1:27" ht="15.75" customHeight="1" x14ac:dyDescent="0.2">
      <c r="A283" t="s">
        <v>141</v>
      </c>
      <c r="B283" t="s">
        <v>165</v>
      </c>
      <c r="C283" t="s">
        <v>232</v>
      </c>
      <c r="D283" t="s">
        <v>233</v>
      </c>
      <c r="E283" t="s">
        <v>78</v>
      </c>
      <c r="F283" t="s">
        <v>78</v>
      </c>
      <c r="H283" s="7" t="s">
        <v>234</v>
      </c>
      <c r="I283" s="11" t="s">
        <v>235</v>
      </c>
      <c r="J283" s="3" t="s">
        <v>31</v>
      </c>
      <c r="K283">
        <v>0.50900000000000001</v>
      </c>
      <c r="L283">
        <v>1.4</v>
      </c>
      <c r="M283" s="2">
        <v>45926</v>
      </c>
      <c r="O283" s="17">
        <v>0.50900000000000001</v>
      </c>
      <c r="P283" s="17">
        <v>0.50900000000000001</v>
      </c>
      <c r="Q283" s="17">
        <v>0.50900000000000001</v>
      </c>
      <c r="R283">
        <v>0.26100000000000001</v>
      </c>
      <c r="S283" s="17">
        <v>0.248</v>
      </c>
      <c r="T283">
        <v>0</v>
      </c>
      <c r="U283">
        <v>0</v>
      </c>
      <c r="V283">
        <v>0</v>
      </c>
      <c r="W283" s="17">
        <f>O283-(R283+S283+T283+U283+V283)</f>
        <v>0</v>
      </c>
      <c r="X283" s="2">
        <v>46230</v>
      </c>
      <c r="Y283" s="7" t="s">
        <v>1064</v>
      </c>
    </row>
    <row r="284" spans="1:27" ht="15.75" customHeight="1" x14ac:dyDescent="0.2">
      <c r="A284" t="s">
        <v>141</v>
      </c>
      <c r="B284" t="s">
        <v>165</v>
      </c>
      <c r="C284" t="s">
        <v>1053</v>
      </c>
      <c r="D284" t="s">
        <v>233</v>
      </c>
      <c r="E284" t="s">
        <v>36</v>
      </c>
      <c r="F284" t="s">
        <v>107</v>
      </c>
      <c r="H284" s="7" t="s">
        <v>847</v>
      </c>
      <c r="I284" s="11" t="s">
        <v>848</v>
      </c>
      <c r="J284" s="3" t="s">
        <v>40</v>
      </c>
      <c r="K284">
        <v>1.7999999999999999E-2</v>
      </c>
      <c r="L284">
        <v>1.7999999999999999E-2</v>
      </c>
      <c r="M284" s="2">
        <v>45482</v>
      </c>
      <c r="N284" s="2">
        <v>45827</v>
      </c>
      <c r="O284">
        <v>1.7999999999999999E-2</v>
      </c>
      <c r="P284" s="17">
        <v>0</v>
      </c>
      <c r="Q284" s="17">
        <v>0</v>
      </c>
      <c r="R284">
        <v>0</v>
      </c>
      <c r="S284" s="17">
        <f>Q284-R284</f>
        <v>0</v>
      </c>
      <c r="T284">
        <v>1.7999999999999999E-2</v>
      </c>
      <c r="U284">
        <v>0</v>
      </c>
      <c r="V284">
        <v>0</v>
      </c>
      <c r="W284" s="17">
        <f>O284-(R284+S284+T284+U284+V284)</f>
        <v>0</v>
      </c>
      <c r="X284" s="2">
        <v>46230</v>
      </c>
    </row>
    <row r="285" spans="1:27" ht="15.75" customHeight="1" x14ac:dyDescent="0.2">
      <c r="A285" t="s">
        <v>141</v>
      </c>
      <c r="B285" t="s">
        <v>165</v>
      </c>
      <c r="C285" t="s">
        <v>166</v>
      </c>
      <c r="D285" t="s">
        <v>233</v>
      </c>
      <c r="E285" t="s">
        <v>44</v>
      </c>
      <c r="F285" t="s">
        <v>44</v>
      </c>
      <c r="H285" s="7" t="s">
        <v>587</v>
      </c>
      <c r="I285" s="11" t="s">
        <v>588</v>
      </c>
      <c r="J285" s="3" t="s">
        <v>40</v>
      </c>
      <c r="K285">
        <v>2.1</v>
      </c>
      <c r="L285">
        <v>2.4</v>
      </c>
      <c r="M285" s="2">
        <v>44369</v>
      </c>
      <c r="N285" s="2">
        <v>45835</v>
      </c>
      <c r="O285">
        <v>2.1</v>
      </c>
      <c r="P285" s="17">
        <v>0</v>
      </c>
      <c r="Q285" s="17">
        <v>0</v>
      </c>
      <c r="R285">
        <v>0</v>
      </c>
      <c r="S285" s="17">
        <f>Q285-R285</f>
        <v>0</v>
      </c>
      <c r="T285">
        <v>0.45600000000000002</v>
      </c>
      <c r="U285">
        <v>0.59099999999999997</v>
      </c>
      <c r="V285">
        <v>0.53400000000000003</v>
      </c>
      <c r="W285" s="17">
        <f>O285-(R285+S285+T285+U285+V285)</f>
        <v>0.51900000000000013</v>
      </c>
      <c r="X285" s="2">
        <v>46230</v>
      </c>
    </row>
    <row r="286" spans="1:27" ht="15.75" customHeight="1" x14ac:dyDescent="0.2">
      <c r="A286" t="s">
        <v>141</v>
      </c>
      <c r="B286" t="s">
        <v>165</v>
      </c>
      <c r="C286" t="s">
        <v>859</v>
      </c>
      <c r="D286" t="s">
        <v>233</v>
      </c>
      <c r="E286" t="s">
        <v>78</v>
      </c>
      <c r="F286" t="s">
        <v>78</v>
      </c>
      <c r="H286" s="7" t="s">
        <v>860</v>
      </c>
      <c r="I286" s="11" t="s">
        <v>861</v>
      </c>
      <c r="J286" s="3" t="s">
        <v>40</v>
      </c>
      <c r="K286">
        <v>4.3999999999999997E-2</v>
      </c>
      <c r="L286">
        <v>4.3999999999999997E-2</v>
      </c>
      <c r="M286" s="2">
        <v>45926</v>
      </c>
      <c r="N286" s="2">
        <v>46050</v>
      </c>
      <c r="O286" s="17">
        <v>4.3999999999999997E-2</v>
      </c>
      <c r="P286" s="17">
        <v>4.3999999999999997E-2</v>
      </c>
      <c r="Q286" s="17">
        <v>4.3999999999999997E-2</v>
      </c>
      <c r="R286">
        <v>5.0000000000000001E-3</v>
      </c>
      <c r="S286" s="17">
        <f>Q286-R286</f>
        <v>3.9E-2</v>
      </c>
      <c r="T286">
        <v>0</v>
      </c>
      <c r="U286">
        <v>0</v>
      </c>
      <c r="V286">
        <v>0</v>
      </c>
      <c r="W286" s="17">
        <f>O286-(R286+S286+T286+U286+V286)</f>
        <v>0</v>
      </c>
      <c r="X286" s="2">
        <v>46230</v>
      </c>
    </row>
    <row r="287" spans="1:27" ht="15.75" customHeight="1" x14ac:dyDescent="0.2">
      <c r="A287" t="s">
        <v>141</v>
      </c>
      <c r="B287" t="s">
        <v>165</v>
      </c>
      <c r="C287" t="s">
        <v>1065</v>
      </c>
      <c r="D287" t="s">
        <v>233</v>
      </c>
      <c r="E287" t="s">
        <v>44</v>
      </c>
      <c r="F287" t="s">
        <v>44</v>
      </c>
      <c r="H287" s="7" t="s">
        <v>1066</v>
      </c>
      <c r="I287" s="12" t="s">
        <v>1067</v>
      </c>
      <c r="J287" s="3" t="s">
        <v>91</v>
      </c>
      <c r="K287">
        <v>0.45700000000000002</v>
      </c>
      <c r="L287">
        <v>1.5</v>
      </c>
      <c r="M287" s="2">
        <v>45911</v>
      </c>
      <c r="O287" s="17">
        <v>0.45700000000000002</v>
      </c>
      <c r="P287" s="17">
        <v>0.45700000000000002</v>
      </c>
      <c r="Q287" s="17">
        <v>0.45700000000000002</v>
      </c>
      <c r="R287">
        <v>0</v>
      </c>
      <c r="S287">
        <v>0.45700000000000002</v>
      </c>
      <c r="T287">
        <v>0</v>
      </c>
      <c r="U287">
        <v>0</v>
      </c>
      <c r="V287">
        <v>0</v>
      </c>
      <c r="W287">
        <v>0</v>
      </c>
      <c r="X287" s="2">
        <v>46230</v>
      </c>
    </row>
    <row r="288" spans="1:27" ht="15.75" customHeight="1" x14ac:dyDescent="0.2">
      <c r="A288" t="s">
        <v>141</v>
      </c>
      <c r="B288" t="s">
        <v>165</v>
      </c>
      <c r="C288" t="s">
        <v>1065</v>
      </c>
      <c r="D288" t="s">
        <v>233</v>
      </c>
      <c r="E288" t="s">
        <v>44</v>
      </c>
      <c r="F288" t="s">
        <v>44</v>
      </c>
      <c r="H288" s="7" t="s">
        <v>1068</v>
      </c>
      <c r="I288" s="12" t="s">
        <v>1069</v>
      </c>
      <c r="J288" s="3" t="s">
        <v>40</v>
      </c>
      <c r="K288">
        <v>3.6999999999999998E-2</v>
      </c>
      <c r="L288">
        <v>3.6999999999999998E-2</v>
      </c>
      <c r="M288" s="2">
        <v>44824</v>
      </c>
      <c r="N288" s="2">
        <v>45188</v>
      </c>
      <c r="O288" s="17">
        <v>3.6999999999999998E-2</v>
      </c>
      <c r="P288" s="17">
        <v>0</v>
      </c>
      <c r="Q288" s="17">
        <v>0</v>
      </c>
      <c r="R288">
        <v>0</v>
      </c>
      <c r="S288">
        <v>0</v>
      </c>
      <c r="T288">
        <v>0</v>
      </c>
      <c r="U288">
        <v>0</v>
      </c>
      <c r="V288">
        <v>3.6999999999999998E-2</v>
      </c>
      <c r="W288">
        <v>0</v>
      </c>
      <c r="X288" s="2">
        <v>46230</v>
      </c>
    </row>
    <row r="289" spans="1:25" ht="15.75" customHeight="1" x14ac:dyDescent="0.2">
      <c r="A289" t="s">
        <v>141</v>
      </c>
      <c r="B289" t="s">
        <v>165</v>
      </c>
      <c r="C289" t="s">
        <v>179</v>
      </c>
      <c r="D289" t="s">
        <v>179</v>
      </c>
      <c r="E289" t="s">
        <v>44</v>
      </c>
      <c r="F289" t="s">
        <v>44</v>
      </c>
      <c r="H289" s="7" t="s">
        <v>180</v>
      </c>
      <c r="I289" s="11" t="s">
        <v>181</v>
      </c>
      <c r="J289" s="3" t="s">
        <v>31</v>
      </c>
      <c r="K289">
        <v>6</v>
      </c>
      <c r="L289">
        <v>6</v>
      </c>
      <c r="M289" s="2">
        <v>43911</v>
      </c>
      <c r="N289" s="2">
        <v>45920</v>
      </c>
      <c r="O289" s="17">
        <v>4.9649999999999999</v>
      </c>
      <c r="P289" s="17">
        <v>0.56200000000000006</v>
      </c>
      <c r="Q289" s="17">
        <v>0.56200000000000006</v>
      </c>
      <c r="R289">
        <v>0</v>
      </c>
      <c r="S289" s="17">
        <f t="shared" ref="S289:S295" si="14">Q289-R289</f>
        <v>0.56200000000000006</v>
      </c>
      <c r="T289">
        <v>1.123</v>
      </c>
      <c r="U289">
        <v>1.1080000000000001</v>
      </c>
      <c r="V289">
        <v>1.093</v>
      </c>
      <c r="W289" s="17">
        <v>1.0780000000000001</v>
      </c>
      <c r="X289" s="2">
        <v>46230</v>
      </c>
      <c r="Y289" t="s">
        <v>1070</v>
      </c>
    </row>
    <row r="290" spans="1:25" ht="15.75" customHeight="1" x14ac:dyDescent="0.2">
      <c r="A290" t="s">
        <v>141</v>
      </c>
      <c r="B290" t="s">
        <v>165</v>
      </c>
      <c r="C290" t="s">
        <v>179</v>
      </c>
      <c r="D290" t="s">
        <v>179</v>
      </c>
      <c r="E290" t="s">
        <v>28</v>
      </c>
      <c r="F290" t="s">
        <v>28</v>
      </c>
      <c r="H290" s="7" t="s">
        <v>855</v>
      </c>
      <c r="I290" s="11" t="s">
        <v>856</v>
      </c>
      <c r="J290" s="3" t="s">
        <v>40</v>
      </c>
      <c r="K290">
        <v>1.3</v>
      </c>
      <c r="L290">
        <v>7.6</v>
      </c>
      <c r="M290" s="2">
        <v>44834</v>
      </c>
      <c r="N290" s="2">
        <v>44955</v>
      </c>
      <c r="O290">
        <v>1.3</v>
      </c>
      <c r="P290" s="17">
        <v>0</v>
      </c>
      <c r="Q290" s="17">
        <v>0</v>
      </c>
      <c r="R290">
        <v>0</v>
      </c>
      <c r="S290" s="17">
        <f t="shared" si="14"/>
        <v>0</v>
      </c>
      <c r="T290">
        <v>0</v>
      </c>
      <c r="U290">
        <v>0</v>
      </c>
      <c r="V290">
        <v>1.3160000000000001</v>
      </c>
      <c r="W290" s="17">
        <v>0</v>
      </c>
      <c r="X290" s="2">
        <v>46230</v>
      </c>
      <c r="Y290" t="s">
        <v>1017</v>
      </c>
    </row>
    <row r="291" spans="1:25" ht="15.75" customHeight="1" x14ac:dyDescent="0.2">
      <c r="A291" t="s">
        <v>141</v>
      </c>
      <c r="B291" t="s">
        <v>165</v>
      </c>
      <c r="C291" t="s">
        <v>179</v>
      </c>
      <c r="D291" t="s">
        <v>179</v>
      </c>
      <c r="E291" t="s">
        <v>44</v>
      </c>
      <c r="F291" t="s">
        <v>44</v>
      </c>
      <c r="H291" s="7" t="s">
        <v>857</v>
      </c>
      <c r="I291" s="11" t="s">
        <v>858</v>
      </c>
      <c r="J291" s="3" t="s">
        <v>91</v>
      </c>
      <c r="K291">
        <v>9.5000000000000001E-2</v>
      </c>
      <c r="L291">
        <v>9.5000000000000001E-2</v>
      </c>
      <c r="M291" s="2">
        <v>45921</v>
      </c>
      <c r="N291" s="2">
        <v>45950</v>
      </c>
      <c r="O291" s="17">
        <v>9.5000000000000001E-2</v>
      </c>
      <c r="P291" s="17">
        <v>9.5000000000000001E-2</v>
      </c>
      <c r="Q291" s="17">
        <v>9.5000000000000001E-2</v>
      </c>
      <c r="R291">
        <v>0</v>
      </c>
      <c r="S291" s="17">
        <f t="shared" si="14"/>
        <v>9.5000000000000001E-2</v>
      </c>
      <c r="T291">
        <v>0</v>
      </c>
      <c r="U291">
        <v>0</v>
      </c>
      <c r="V291">
        <v>0</v>
      </c>
      <c r="W291" s="17">
        <f>O291-(R291+S291+T291+U291+V291)</f>
        <v>0</v>
      </c>
      <c r="X291" s="2">
        <v>46230</v>
      </c>
      <c r="Y291" t="s">
        <v>1071</v>
      </c>
    </row>
    <row r="292" spans="1:25" ht="15.75" customHeight="1" x14ac:dyDescent="0.2">
      <c r="A292" t="s">
        <v>141</v>
      </c>
      <c r="B292" t="s">
        <v>165</v>
      </c>
      <c r="C292" t="s">
        <v>166</v>
      </c>
      <c r="D292" t="s">
        <v>167</v>
      </c>
      <c r="E292" t="s">
        <v>28</v>
      </c>
      <c r="F292" t="s">
        <v>28</v>
      </c>
      <c r="H292" s="7" t="s">
        <v>168</v>
      </c>
      <c r="I292" s="11" t="s">
        <v>169</v>
      </c>
      <c r="J292" s="3" t="s">
        <v>40</v>
      </c>
      <c r="K292">
        <v>1.2</v>
      </c>
      <c r="L292">
        <v>1.2</v>
      </c>
      <c r="M292" s="2">
        <v>44822</v>
      </c>
      <c r="N292" s="2">
        <v>45186</v>
      </c>
      <c r="O292">
        <v>1.2</v>
      </c>
      <c r="P292" s="17">
        <v>0</v>
      </c>
      <c r="Q292" s="17">
        <v>0</v>
      </c>
      <c r="R292">
        <v>0</v>
      </c>
      <c r="S292" s="17">
        <f t="shared" si="14"/>
        <v>0</v>
      </c>
      <c r="T292">
        <v>0</v>
      </c>
      <c r="U292">
        <v>0</v>
      </c>
      <c r="V292">
        <v>1.17</v>
      </c>
      <c r="W292" s="17">
        <v>0</v>
      </c>
      <c r="X292" s="2">
        <v>46230</v>
      </c>
    </row>
    <row r="293" spans="1:25" ht="15.75" customHeight="1" x14ac:dyDescent="0.2">
      <c r="A293" t="s">
        <v>141</v>
      </c>
      <c r="B293" t="s">
        <v>165</v>
      </c>
      <c r="C293" t="s">
        <v>747</v>
      </c>
      <c r="D293" t="s">
        <v>167</v>
      </c>
      <c r="E293" t="s">
        <v>78</v>
      </c>
      <c r="F293" t="s">
        <v>78</v>
      </c>
      <c r="H293" s="7" t="s">
        <v>752</v>
      </c>
      <c r="I293" s="11" t="s">
        <v>753</v>
      </c>
      <c r="J293" s="3" t="s">
        <v>40</v>
      </c>
      <c r="K293">
        <v>0.77200000000000002</v>
      </c>
      <c r="L293">
        <v>0.77200000000000002</v>
      </c>
      <c r="M293" s="2">
        <v>45181</v>
      </c>
      <c r="N293" s="2">
        <v>45546</v>
      </c>
      <c r="O293">
        <v>0.77200000000000002</v>
      </c>
      <c r="P293" s="17">
        <v>0</v>
      </c>
      <c r="Q293" s="17">
        <v>0</v>
      </c>
      <c r="R293">
        <v>0</v>
      </c>
      <c r="S293" s="17">
        <f t="shared" si="14"/>
        <v>0</v>
      </c>
      <c r="T293">
        <v>0.14000000000000001</v>
      </c>
      <c r="U293">
        <v>0.63200000000000001</v>
      </c>
      <c r="V293">
        <v>0</v>
      </c>
      <c r="W293" s="17">
        <f>O293-(R293+S293+T293+U293+V293)</f>
        <v>0</v>
      </c>
      <c r="X293" s="2">
        <v>46230</v>
      </c>
    </row>
    <row r="294" spans="1:25" ht="15.75" customHeight="1" x14ac:dyDescent="0.2">
      <c r="A294" t="s">
        <v>141</v>
      </c>
      <c r="B294" t="s">
        <v>165</v>
      </c>
      <c r="C294" t="s">
        <v>166</v>
      </c>
      <c r="D294" t="s">
        <v>167</v>
      </c>
      <c r="E294" t="s">
        <v>28</v>
      </c>
      <c r="F294" t="s">
        <v>28</v>
      </c>
      <c r="H294" s="7" t="s">
        <v>589</v>
      </c>
      <c r="I294" s="11" t="s">
        <v>590</v>
      </c>
      <c r="J294" s="3" t="s">
        <v>40</v>
      </c>
      <c r="K294">
        <v>2.4</v>
      </c>
      <c r="L294">
        <v>4.7</v>
      </c>
      <c r="M294" s="2">
        <v>45187</v>
      </c>
      <c r="N294" s="2">
        <v>45657</v>
      </c>
      <c r="O294">
        <v>2.4</v>
      </c>
      <c r="P294" s="17">
        <v>0</v>
      </c>
      <c r="Q294" s="17">
        <v>0</v>
      </c>
      <c r="R294">
        <v>0</v>
      </c>
      <c r="S294" s="17">
        <f t="shared" si="14"/>
        <v>0</v>
      </c>
      <c r="T294">
        <v>1.4159999999999999</v>
      </c>
      <c r="U294">
        <v>0.94</v>
      </c>
      <c r="V294">
        <v>0</v>
      </c>
      <c r="W294" s="17">
        <v>0</v>
      </c>
      <c r="X294" s="2">
        <v>46230</v>
      </c>
    </row>
    <row r="295" spans="1:25" ht="15.75" customHeight="1" x14ac:dyDescent="0.2">
      <c r="A295" t="s">
        <v>141</v>
      </c>
      <c r="B295" t="s">
        <v>165</v>
      </c>
      <c r="C295" t="s">
        <v>166</v>
      </c>
      <c r="D295" t="s">
        <v>167</v>
      </c>
      <c r="E295" t="s">
        <v>44</v>
      </c>
      <c r="F295" t="s">
        <v>44</v>
      </c>
      <c r="H295" s="7" t="s">
        <v>591</v>
      </c>
      <c r="I295" s="11" t="s">
        <v>592</v>
      </c>
      <c r="J295" s="3" t="s">
        <v>40</v>
      </c>
      <c r="K295">
        <v>4.2</v>
      </c>
      <c r="L295">
        <v>4.2</v>
      </c>
      <c r="M295" s="2">
        <v>45184</v>
      </c>
      <c r="O295">
        <v>4.2</v>
      </c>
      <c r="P295" s="17">
        <v>1.4490000000000001</v>
      </c>
      <c r="Q295" s="17">
        <v>1.4490000000000001</v>
      </c>
      <c r="R295">
        <v>0</v>
      </c>
      <c r="S295" s="17">
        <f t="shared" si="14"/>
        <v>1.4490000000000001</v>
      </c>
      <c r="T295">
        <v>1.395</v>
      </c>
      <c r="U295">
        <v>1.343</v>
      </c>
      <c r="V295">
        <v>0</v>
      </c>
      <c r="W295" s="17">
        <v>0</v>
      </c>
      <c r="X295" s="2">
        <v>46230</v>
      </c>
      <c r="Y295" t="s">
        <v>1072</v>
      </c>
    </row>
    <row r="296" spans="1:25" ht="15.75" customHeight="1" x14ac:dyDescent="0.2">
      <c r="A296" t="s">
        <v>141</v>
      </c>
      <c r="B296" t="s">
        <v>165</v>
      </c>
      <c r="C296" t="s">
        <v>476</v>
      </c>
      <c r="D296" t="s">
        <v>167</v>
      </c>
      <c r="E296" t="s">
        <v>28</v>
      </c>
      <c r="F296" t="s">
        <v>28</v>
      </c>
      <c r="H296" s="7" t="s">
        <v>496</v>
      </c>
      <c r="I296" s="11" t="s">
        <v>497</v>
      </c>
      <c r="J296" s="3" t="s">
        <v>40</v>
      </c>
      <c r="K296">
        <v>0.16</v>
      </c>
      <c r="L296">
        <v>0.248</v>
      </c>
      <c r="M296" s="2">
        <v>45658</v>
      </c>
      <c r="O296">
        <v>0.16</v>
      </c>
      <c r="P296" s="17">
        <v>8.3000000000000004E-2</v>
      </c>
      <c r="Q296" s="17">
        <v>8.3000000000000004E-2</v>
      </c>
      <c r="R296">
        <v>0</v>
      </c>
      <c r="S296" s="17">
        <v>8.3000000000000004E-2</v>
      </c>
      <c r="T296">
        <v>7.8E-2</v>
      </c>
      <c r="U296">
        <v>0</v>
      </c>
      <c r="V296">
        <v>0</v>
      </c>
      <c r="W296" s="17">
        <v>0</v>
      </c>
      <c r="X296" s="2">
        <v>46230</v>
      </c>
      <c r="Y296" t="s">
        <v>1072</v>
      </c>
    </row>
    <row r="297" spans="1:25" ht="15.75" customHeight="1" x14ac:dyDescent="0.2">
      <c r="A297" t="s">
        <v>141</v>
      </c>
      <c r="B297" t="s">
        <v>165</v>
      </c>
      <c r="C297" t="s">
        <v>634</v>
      </c>
      <c r="D297" t="s">
        <v>167</v>
      </c>
      <c r="E297" t="s">
        <v>28</v>
      </c>
      <c r="F297" t="s">
        <v>28</v>
      </c>
      <c r="H297" s="7" t="s">
        <v>635</v>
      </c>
      <c r="I297" s="11" t="s">
        <v>636</v>
      </c>
      <c r="J297" s="3" t="s">
        <v>40</v>
      </c>
      <c r="K297">
        <v>0.216</v>
      </c>
      <c r="L297">
        <v>0.216</v>
      </c>
      <c r="M297" s="2">
        <v>45929</v>
      </c>
      <c r="O297" s="17">
        <v>0.216</v>
      </c>
      <c r="P297" s="17">
        <v>0.216</v>
      </c>
      <c r="Q297" s="17">
        <v>0.216</v>
      </c>
      <c r="R297">
        <v>0</v>
      </c>
      <c r="S297" s="17">
        <f>Q297-R297</f>
        <v>0.216</v>
      </c>
      <c r="T297">
        <v>0</v>
      </c>
      <c r="U297">
        <v>0</v>
      </c>
      <c r="V297">
        <v>0</v>
      </c>
      <c r="W297" s="17">
        <f>O297-(R297+S297+T297+U297+V297)</f>
        <v>0</v>
      </c>
      <c r="X297" s="2">
        <v>46230</v>
      </c>
      <c r="Y297" t="s">
        <v>1072</v>
      </c>
    </row>
    <row r="298" spans="1:25" ht="15.75" customHeight="1" x14ac:dyDescent="0.2">
      <c r="A298" t="s">
        <v>141</v>
      </c>
      <c r="B298" t="s">
        <v>165</v>
      </c>
      <c r="C298" t="s">
        <v>34</v>
      </c>
      <c r="D298" t="s">
        <v>35</v>
      </c>
      <c r="E298" t="s">
        <v>44</v>
      </c>
      <c r="F298" t="s">
        <v>44</v>
      </c>
      <c r="H298" s="7" t="s">
        <v>740</v>
      </c>
      <c r="I298" s="11" t="s">
        <v>741</v>
      </c>
      <c r="J298" s="3" t="s">
        <v>122</v>
      </c>
      <c r="K298">
        <v>70.8</v>
      </c>
      <c r="L298">
        <v>70.8</v>
      </c>
      <c r="M298" s="2">
        <v>43331</v>
      </c>
      <c r="N298" s="2">
        <v>45157</v>
      </c>
      <c r="O298" s="17">
        <v>39.795999999999999</v>
      </c>
      <c r="P298" s="17">
        <v>0</v>
      </c>
      <c r="Q298" s="17">
        <v>0</v>
      </c>
      <c r="R298">
        <v>0</v>
      </c>
      <c r="S298" s="17">
        <v>-0.69099999999999995</v>
      </c>
      <c r="T298">
        <v>4.7240000000000002</v>
      </c>
      <c r="U298">
        <v>12.64</v>
      </c>
      <c r="V298">
        <v>12.034000000000001</v>
      </c>
      <c r="W298" s="17">
        <f>O298-(R298+S298+T298+U298+V298)</f>
        <v>11.088999999999999</v>
      </c>
      <c r="X298" s="2">
        <v>46230</v>
      </c>
      <c r="Y298" s="7" t="s">
        <v>1073</v>
      </c>
    </row>
    <row r="299" spans="1:25" ht="15.75" customHeight="1" x14ac:dyDescent="0.2">
      <c r="A299" t="s">
        <v>141</v>
      </c>
      <c r="B299" t="s">
        <v>165</v>
      </c>
      <c r="C299" t="s">
        <v>34</v>
      </c>
      <c r="D299" t="s">
        <v>35</v>
      </c>
      <c r="E299" t="s">
        <v>44</v>
      </c>
      <c r="F299" t="s">
        <v>44</v>
      </c>
      <c r="H299" s="7" t="s">
        <v>742</v>
      </c>
      <c r="I299" s="11" t="s">
        <v>741</v>
      </c>
      <c r="J299" s="3" t="s">
        <v>40</v>
      </c>
      <c r="K299">
        <v>14.8</v>
      </c>
      <c r="L299">
        <v>37.4</v>
      </c>
      <c r="M299" s="2">
        <v>45536</v>
      </c>
      <c r="O299">
        <v>14.8</v>
      </c>
      <c r="P299" s="17">
        <v>8.1769999999999996</v>
      </c>
      <c r="Q299" s="17">
        <v>8.1769999999999996</v>
      </c>
      <c r="R299">
        <v>0.93400000000000005</v>
      </c>
      <c r="S299" s="17">
        <f>Q299-R299</f>
        <v>7.2429999999999994</v>
      </c>
      <c r="T299">
        <v>6.633</v>
      </c>
      <c r="U299">
        <v>0</v>
      </c>
      <c r="V299">
        <v>0</v>
      </c>
      <c r="W299" s="17">
        <v>0</v>
      </c>
      <c r="X299" s="2">
        <v>46230</v>
      </c>
    </row>
    <row r="300" spans="1:25" ht="15.75" customHeight="1" x14ac:dyDescent="0.2">
      <c r="A300" t="s">
        <v>141</v>
      </c>
      <c r="B300" t="s">
        <v>165</v>
      </c>
      <c r="C300" t="s">
        <v>312</v>
      </c>
      <c r="D300" t="s">
        <v>312</v>
      </c>
      <c r="E300" t="s">
        <v>28</v>
      </c>
      <c r="F300" t="s">
        <v>28</v>
      </c>
      <c r="H300" s="7" t="s">
        <v>319</v>
      </c>
      <c r="I300" s="11" t="s">
        <v>320</v>
      </c>
      <c r="J300" s="3" t="s">
        <v>40</v>
      </c>
      <c r="K300">
        <v>0.66200000000000003</v>
      </c>
      <c r="L300">
        <v>0.66200000000000003</v>
      </c>
      <c r="M300" s="2">
        <v>44323</v>
      </c>
      <c r="N300" s="2">
        <v>44732</v>
      </c>
      <c r="O300">
        <v>0.66200000000000003</v>
      </c>
      <c r="P300" s="17">
        <v>0</v>
      </c>
      <c r="Q300" s="17">
        <v>0</v>
      </c>
      <c r="R300">
        <v>0</v>
      </c>
      <c r="S300" s="17">
        <f>Q300-R300</f>
        <v>0</v>
      </c>
      <c r="T300">
        <v>0</v>
      </c>
      <c r="U300">
        <v>0</v>
      </c>
      <c r="V300">
        <v>0</v>
      </c>
      <c r="W300" s="17">
        <v>0.66200000000000003</v>
      </c>
      <c r="X300" s="2">
        <v>46230</v>
      </c>
      <c r="Y300" t="s">
        <v>1027</v>
      </c>
    </row>
    <row r="301" spans="1:25" ht="15.75" customHeight="1" x14ac:dyDescent="0.2">
      <c r="A301" t="s">
        <v>141</v>
      </c>
      <c r="B301" t="s">
        <v>165</v>
      </c>
      <c r="C301" t="s">
        <v>383</v>
      </c>
      <c r="D301" t="s">
        <v>384</v>
      </c>
      <c r="E301" t="s">
        <v>44</v>
      </c>
      <c r="F301" t="s">
        <v>44</v>
      </c>
      <c r="H301" s="7" t="s">
        <v>385</v>
      </c>
      <c r="I301" s="11" t="s">
        <v>386</v>
      </c>
      <c r="J301" s="3" t="s">
        <v>228</v>
      </c>
      <c r="K301">
        <v>7.782</v>
      </c>
      <c r="L301">
        <v>37.009</v>
      </c>
      <c r="M301" s="2">
        <v>42892</v>
      </c>
      <c r="N301" s="2">
        <v>44804</v>
      </c>
      <c r="O301" s="17">
        <v>0.21</v>
      </c>
      <c r="P301" s="17">
        <v>0</v>
      </c>
      <c r="Q301" s="17">
        <v>0</v>
      </c>
      <c r="R301">
        <v>0</v>
      </c>
      <c r="S301" s="17">
        <f>Q301-R301</f>
        <v>0</v>
      </c>
      <c r="T301">
        <v>0</v>
      </c>
      <c r="U301">
        <v>0</v>
      </c>
      <c r="V301">
        <v>-0.13800000000000001</v>
      </c>
      <c r="W301" s="17">
        <v>0.34799999999999998</v>
      </c>
      <c r="X301" s="2">
        <v>46230</v>
      </c>
    </row>
    <row r="302" spans="1:25" ht="15.75" customHeight="1" x14ac:dyDescent="0.2">
      <c r="A302" t="s">
        <v>141</v>
      </c>
      <c r="B302" t="s">
        <v>165</v>
      </c>
      <c r="C302" t="s">
        <v>1074</v>
      </c>
      <c r="D302" t="s">
        <v>481</v>
      </c>
      <c r="E302" t="s">
        <v>28</v>
      </c>
      <c r="F302" t="s">
        <v>28</v>
      </c>
      <c r="H302" s="7" t="s">
        <v>482</v>
      </c>
      <c r="I302" s="11" t="s">
        <v>483</v>
      </c>
      <c r="J302" s="3" t="s">
        <v>40</v>
      </c>
      <c r="K302">
        <v>0.4</v>
      </c>
      <c r="L302">
        <v>0.4</v>
      </c>
      <c r="M302" s="2">
        <v>44457</v>
      </c>
      <c r="N302" s="2">
        <v>44790</v>
      </c>
      <c r="O302" s="17">
        <v>0.4</v>
      </c>
      <c r="P302" s="17">
        <v>0</v>
      </c>
      <c r="Q302" s="17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0.4</v>
      </c>
      <c r="X302" s="2">
        <v>46230</v>
      </c>
      <c r="Y302" s="21"/>
    </row>
    <row r="303" spans="1:25" ht="15.75" customHeight="1" x14ac:dyDescent="0.2">
      <c r="A303" t="s">
        <v>141</v>
      </c>
      <c r="B303" t="s">
        <v>165</v>
      </c>
      <c r="C303" t="s">
        <v>1074</v>
      </c>
      <c r="D303" t="s">
        <v>481</v>
      </c>
      <c r="E303" t="s">
        <v>28</v>
      </c>
      <c r="F303" t="s">
        <v>28</v>
      </c>
      <c r="H303" s="7" t="s">
        <v>484</v>
      </c>
      <c r="I303" s="11" t="s">
        <v>485</v>
      </c>
      <c r="J303" s="3" t="s">
        <v>40</v>
      </c>
      <c r="K303">
        <v>0.61099999999999999</v>
      </c>
      <c r="L303">
        <v>0.61099999999999999</v>
      </c>
      <c r="M303" s="2">
        <v>44823</v>
      </c>
      <c r="N303" s="2">
        <v>45187</v>
      </c>
      <c r="O303" s="17">
        <v>0.61099999999999999</v>
      </c>
      <c r="P303" s="17">
        <v>0</v>
      </c>
      <c r="Q303" s="17">
        <v>0</v>
      </c>
      <c r="R303">
        <v>0</v>
      </c>
      <c r="S303">
        <v>0</v>
      </c>
      <c r="T303">
        <v>0</v>
      </c>
      <c r="U303">
        <v>0</v>
      </c>
      <c r="V303">
        <v>0.61099999999999999</v>
      </c>
      <c r="W303">
        <v>0</v>
      </c>
      <c r="X303" s="2">
        <v>46230</v>
      </c>
      <c r="Y303" s="21"/>
    </row>
    <row r="304" spans="1:25" ht="15.75" customHeight="1" x14ac:dyDescent="0.2">
      <c r="A304" t="s">
        <v>141</v>
      </c>
      <c r="B304" t="s">
        <v>165</v>
      </c>
      <c r="C304" t="s">
        <v>1074</v>
      </c>
      <c r="D304" t="s">
        <v>481</v>
      </c>
      <c r="E304" t="s">
        <v>44</v>
      </c>
      <c r="F304" t="s">
        <v>44</v>
      </c>
      <c r="H304" s="7" t="s">
        <v>486</v>
      </c>
      <c r="I304" s="11" t="s">
        <v>487</v>
      </c>
      <c r="J304" s="3" t="s">
        <v>40</v>
      </c>
      <c r="K304">
        <v>1.7</v>
      </c>
      <c r="L304">
        <v>2.4</v>
      </c>
      <c r="M304" s="2">
        <v>44417</v>
      </c>
      <c r="N304" s="2">
        <v>45883</v>
      </c>
      <c r="O304" s="17">
        <v>1.7</v>
      </c>
      <c r="P304" s="17">
        <v>0</v>
      </c>
      <c r="Q304" s="17">
        <v>0</v>
      </c>
      <c r="R304">
        <v>0</v>
      </c>
      <c r="S304">
        <v>0</v>
      </c>
      <c r="T304">
        <v>0.432</v>
      </c>
      <c r="U304">
        <v>0.41899999999999998</v>
      </c>
      <c r="V304">
        <v>0.40699999999999997</v>
      </c>
      <c r="W304">
        <v>0.39500000000000002</v>
      </c>
      <c r="X304" s="2">
        <v>46230</v>
      </c>
      <c r="Y304" s="21"/>
    </row>
    <row r="305" spans="1:29" ht="15.75" customHeight="1" x14ac:dyDescent="0.2">
      <c r="A305" t="s">
        <v>141</v>
      </c>
      <c r="B305" t="s">
        <v>165</v>
      </c>
      <c r="C305" t="s">
        <v>1074</v>
      </c>
      <c r="D305" t="s">
        <v>481</v>
      </c>
      <c r="E305" t="s">
        <v>28</v>
      </c>
      <c r="F305" t="s">
        <v>28</v>
      </c>
      <c r="H305" s="7" t="s">
        <v>488</v>
      </c>
      <c r="I305" s="11" t="s">
        <v>483</v>
      </c>
      <c r="J305" s="3" t="s">
        <v>40</v>
      </c>
      <c r="K305">
        <v>3.2000000000000001E-2</v>
      </c>
      <c r="L305">
        <v>3.2000000000000001E-2</v>
      </c>
      <c r="M305" s="2">
        <v>45918</v>
      </c>
      <c r="N305" s="2">
        <v>45947</v>
      </c>
      <c r="O305" s="17">
        <v>3.2000000000000001E-2</v>
      </c>
      <c r="P305" s="17">
        <v>3.2000000000000001E-2</v>
      </c>
      <c r="Q305" s="17">
        <v>3.2000000000000001E-2</v>
      </c>
      <c r="R305">
        <v>0</v>
      </c>
      <c r="S305">
        <v>3.2000000000000001E-2</v>
      </c>
      <c r="T305">
        <v>0</v>
      </c>
      <c r="U305">
        <v>0</v>
      </c>
      <c r="V305">
        <v>0</v>
      </c>
      <c r="W305">
        <v>0</v>
      </c>
      <c r="X305" s="2">
        <v>46230</v>
      </c>
      <c r="Y305" s="21"/>
    </row>
    <row r="306" spans="1:29" ht="15.75" customHeight="1" x14ac:dyDescent="0.2">
      <c r="A306" t="s">
        <v>141</v>
      </c>
      <c r="B306" t="s">
        <v>165</v>
      </c>
      <c r="C306" t="s">
        <v>1074</v>
      </c>
      <c r="D306" t="s">
        <v>481</v>
      </c>
      <c r="E306" t="s">
        <v>44</v>
      </c>
      <c r="F306" t="s">
        <v>44</v>
      </c>
      <c r="H306" s="7" t="s">
        <v>489</v>
      </c>
      <c r="I306" s="11" t="s">
        <v>490</v>
      </c>
      <c r="J306" s="3" t="s">
        <v>40</v>
      </c>
      <c r="K306">
        <v>0.58399999999999996</v>
      </c>
      <c r="L306">
        <v>1.8</v>
      </c>
      <c r="M306" s="2">
        <v>45884</v>
      </c>
      <c r="O306" s="17">
        <v>0.58399999999999996</v>
      </c>
      <c r="P306" s="17">
        <v>0.58399999999999996</v>
      </c>
      <c r="Q306" s="17">
        <v>0.58399999999999996</v>
      </c>
      <c r="R306">
        <v>0</v>
      </c>
      <c r="S306">
        <v>0.58399999999999996</v>
      </c>
      <c r="T306">
        <v>0</v>
      </c>
      <c r="U306">
        <v>0</v>
      </c>
      <c r="V306">
        <v>0</v>
      </c>
      <c r="W306">
        <v>0</v>
      </c>
      <c r="X306" s="2">
        <v>46230</v>
      </c>
      <c r="Y306" s="21"/>
    </row>
    <row r="307" spans="1:29" ht="15.75" customHeight="1" x14ac:dyDescent="0.2">
      <c r="A307" t="s">
        <v>141</v>
      </c>
      <c r="B307" t="s">
        <v>165</v>
      </c>
      <c r="C307" t="s">
        <v>667</v>
      </c>
      <c r="D307" t="s">
        <v>481</v>
      </c>
      <c r="E307" t="s">
        <v>28</v>
      </c>
      <c r="F307" t="s">
        <v>28</v>
      </c>
      <c r="H307" s="7" t="s">
        <v>668</v>
      </c>
      <c r="I307" s="11" t="s">
        <v>669</v>
      </c>
      <c r="J307" s="3" t="s">
        <v>91</v>
      </c>
      <c r="K307">
        <v>4.0000000000000001E-3</v>
      </c>
      <c r="L307">
        <v>4.0000000000000001E-3</v>
      </c>
      <c r="M307" s="2">
        <v>45908</v>
      </c>
      <c r="O307" s="17">
        <v>4.0000000000000001E-3</v>
      </c>
      <c r="P307" s="17">
        <v>4.0000000000000001E-3</v>
      </c>
      <c r="Q307" s="17">
        <v>4.0000000000000001E-3</v>
      </c>
      <c r="R307">
        <v>0</v>
      </c>
      <c r="S307">
        <v>4.0000000000000001E-3</v>
      </c>
      <c r="T307">
        <v>0</v>
      </c>
      <c r="U307">
        <v>0</v>
      </c>
      <c r="V307">
        <v>0</v>
      </c>
      <c r="W307">
        <v>0</v>
      </c>
      <c r="X307" s="2">
        <v>46230</v>
      </c>
      <c r="Y307" s="21" t="s">
        <v>1075</v>
      </c>
    </row>
    <row r="308" spans="1:29" ht="15.75" customHeight="1" x14ac:dyDescent="0.2">
      <c r="A308" t="s">
        <v>141</v>
      </c>
      <c r="B308" t="s">
        <v>165</v>
      </c>
      <c r="C308" t="s">
        <v>1074</v>
      </c>
      <c r="D308" t="s">
        <v>481</v>
      </c>
      <c r="E308" t="s">
        <v>49</v>
      </c>
      <c r="F308" t="s">
        <v>49</v>
      </c>
      <c r="H308" s="7" t="s">
        <v>491</v>
      </c>
      <c r="I308" s="11" t="s">
        <v>492</v>
      </c>
      <c r="J308" s="3" t="s">
        <v>91</v>
      </c>
      <c r="K308">
        <v>0.19400000000000001</v>
      </c>
      <c r="L308">
        <v>0.24299999999999999</v>
      </c>
      <c r="M308" s="2">
        <v>45762</v>
      </c>
      <c r="O308" s="17">
        <v>0.19400000000000001</v>
      </c>
      <c r="P308" s="17">
        <v>0.19400000000000001</v>
      </c>
      <c r="Q308" s="17">
        <v>0.19400000000000001</v>
      </c>
      <c r="R308">
        <v>9.9000000000000005E-2</v>
      </c>
      <c r="S308">
        <v>9.4E-2</v>
      </c>
      <c r="T308">
        <v>0</v>
      </c>
      <c r="U308">
        <v>0</v>
      </c>
      <c r="V308">
        <v>0</v>
      </c>
      <c r="W308">
        <v>0</v>
      </c>
      <c r="X308" s="2">
        <v>46230</v>
      </c>
      <c r="Y308" s="21"/>
    </row>
    <row r="309" spans="1:29" ht="15.75" customHeight="1" x14ac:dyDescent="0.2">
      <c r="A309" t="s">
        <v>141</v>
      </c>
      <c r="B309" t="s">
        <v>165</v>
      </c>
      <c r="C309" t="s">
        <v>1076</v>
      </c>
      <c r="D309" t="s">
        <v>1077</v>
      </c>
      <c r="E309" t="s">
        <v>78</v>
      </c>
      <c r="F309" t="s">
        <v>78</v>
      </c>
      <c r="H309" s="7" t="s">
        <v>1078</v>
      </c>
      <c r="I309" s="12" t="s">
        <v>1079</v>
      </c>
      <c r="J309" s="3" t="s">
        <v>40</v>
      </c>
      <c r="K309">
        <v>0.85</v>
      </c>
      <c r="L309">
        <v>0.85</v>
      </c>
      <c r="M309" s="2">
        <v>44830</v>
      </c>
      <c r="N309" s="2">
        <v>45833</v>
      </c>
      <c r="O309" s="17">
        <v>0.85</v>
      </c>
      <c r="P309" s="17">
        <v>0</v>
      </c>
      <c r="Q309" s="17">
        <v>0</v>
      </c>
      <c r="R309">
        <v>0</v>
      </c>
      <c r="S309">
        <v>0</v>
      </c>
      <c r="T309">
        <v>0</v>
      </c>
      <c r="U309">
        <v>0.5</v>
      </c>
      <c r="V309">
        <v>0.35</v>
      </c>
      <c r="W309">
        <v>0</v>
      </c>
      <c r="X309" s="2">
        <v>46230</v>
      </c>
      <c r="Y309" s="7" t="s">
        <v>1080</v>
      </c>
    </row>
    <row r="310" spans="1:29" ht="15.75" customHeight="1" x14ac:dyDescent="0.2">
      <c r="A310" t="s">
        <v>141</v>
      </c>
      <c r="B310" t="s">
        <v>165</v>
      </c>
      <c r="C310" t="s">
        <v>1076</v>
      </c>
      <c r="D310" t="s">
        <v>1077</v>
      </c>
      <c r="E310" t="s">
        <v>44</v>
      </c>
      <c r="F310" t="s">
        <v>44</v>
      </c>
      <c r="H310" s="7" t="s">
        <v>1081</v>
      </c>
      <c r="I310" s="12" t="s">
        <v>1082</v>
      </c>
      <c r="J310" s="3" t="s">
        <v>40</v>
      </c>
      <c r="K310">
        <v>1.2</v>
      </c>
      <c r="L310">
        <v>1.2</v>
      </c>
      <c r="M310" s="2">
        <v>44456</v>
      </c>
      <c r="N310" s="2">
        <v>45917</v>
      </c>
      <c r="O310" s="17">
        <v>1.2</v>
      </c>
      <c r="P310" s="17">
        <v>0</v>
      </c>
      <c r="Q310" s="17">
        <v>0</v>
      </c>
      <c r="R310">
        <v>0</v>
      </c>
      <c r="S310">
        <v>0</v>
      </c>
      <c r="T310">
        <v>0.45</v>
      </c>
      <c r="U310">
        <v>0.27100000000000002</v>
      </c>
      <c r="V310">
        <v>0.26300000000000001</v>
      </c>
      <c r="W310">
        <v>0.24399999999999999</v>
      </c>
      <c r="X310" s="2">
        <v>46230</v>
      </c>
    </row>
    <row r="311" spans="1:29" s="26" customFormat="1" ht="15.75" customHeight="1" x14ac:dyDescent="0.2">
      <c r="A311" t="s">
        <v>141</v>
      </c>
      <c r="B311" t="s">
        <v>165</v>
      </c>
      <c r="C311" t="s">
        <v>236</v>
      </c>
      <c r="D311" t="s">
        <v>237</v>
      </c>
      <c r="E311" t="s">
        <v>28</v>
      </c>
      <c r="F311" t="s">
        <v>28</v>
      </c>
      <c r="G311"/>
      <c r="H311" s="7" t="s">
        <v>238</v>
      </c>
      <c r="I311" s="11" t="s">
        <v>239</v>
      </c>
      <c r="J311" s="3" t="s">
        <v>240</v>
      </c>
      <c r="K311">
        <v>0.6</v>
      </c>
      <c r="L311">
        <v>0.6</v>
      </c>
      <c r="M311" s="2">
        <v>45658</v>
      </c>
      <c r="N311" s="2">
        <v>46022</v>
      </c>
      <c r="O311" s="17">
        <v>0.6</v>
      </c>
      <c r="P311" s="17">
        <v>0</v>
      </c>
      <c r="Q311" s="17">
        <v>0.6</v>
      </c>
      <c r="R311">
        <v>0</v>
      </c>
      <c r="S311" s="17">
        <f>Q311-R311</f>
        <v>0.6</v>
      </c>
      <c r="T311">
        <v>0</v>
      </c>
      <c r="U311">
        <v>0</v>
      </c>
      <c r="V311">
        <v>0</v>
      </c>
      <c r="W311" s="17">
        <f>O311-(R311+S311+T311+U311+V311)</f>
        <v>0</v>
      </c>
      <c r="X311" s="2">
        <v>46230</v>
      </c>
      <c r="Y311"/>
      <c r="Z311"/>
      <c r="AA311"/>
      <c r="AB311"/>
      <c r="AC311"/>
    </row>
    <row r="312" spans="1:29" ht="15.75" customHeight="1" x14ac:dyDescent="0.2">
      <c r="A312" t="s">
        <v>141</v>
      </c>
      <c r="B312" t="s">
        <v>165</v>
      </c>
      <c r="C312" t="s">
        <v>476</v>
      </c>
      <c r="D312" t="s">
        <v>237</v>
      </c>
      <c r="E312" t="s">
        <v>28</v>
      </c>
      <c r="F312" t="s">
        <v>28</v>
      </c>
      <c r="H312" s="7" t="s">
        <v>498</v>
      </c>
      <c r="I312" s="11" t="s">
        <v>499</v>
      </c>
      <c r="J312" s="3" t="s">
        <v>500</v>
      </c>
      <c r="K312">
        <v>0.38</v>
      </c>
      <c r="L312">
        <v>0.38</v>
      </c>
      <c r="M312" s="2">
        <v>45184</v>
      </c>
      <c r="N312" s="2">
        <v>45657</v>
      </c>
      <c r="O312">
        <v>0.38</v>
      </c>
      <c r="P312" s="17">
        <v>0</v>
      </c>
      <c r="Q312" s="17">
        <v>0</v>
      </c>
      <c r="R312">
        <v>0</v>
      </c>
      <c r="S312" s="17">
        <f>Q312-R312</f>
        <v>0</v>
      </c>
      <c r="T312">
        <v>0.20699999999999999</v>
      </c>
      <c r="U312">
        <v>0.17299999999999999</v>
      </c>
      <c r="V312">
        <v>0</v>
      </c>
      <c r="W312" s="17">
        <f>O312-(R312+S312+T312+U312+V312)</f>
        <v>0</v>
      </c>
      <c r="X312" s="2">
        <v>46230</v>
      </c>
    </row>
    <row r="313" spans="1:29" ht="15.75" customHeight="1" x14ac:dyDescent="0.2">
      <c r="A313" t="s">
        <v>141</v>
      </c>
      <c r="B313" t="s">
        <v>165</v>
      </c>
      <c r="C313" t="s">
        <v>747</v>
      </c>
      <c r="D313" t="s">
        <v>237</v>
      </c>
      <c r="E313" t="s">
        <v>44</v>
      </c>
      <c r="F313" t="s">
        <v>44</v>
      </c>
      <c r="H313" s="7" t="s">
        <v>754</v>
      </c>
      <c r="I313" s="11" t="s">
        <v>755</v>
      </c>
      <c r="J313" s="3" t="s">
        <v>40</v>
      </c>
      <c r="K313">
        <v>3.7999999999999999E-2</v>
      </c>
      <c r="L313">
        <v>3.7999999999999999E-2</v>
      </c>
      <c r="M313" s="2">
        <v>45546</v>
      </c>
      <c r="N313" s="2">
        <v>45910</v>
      </c>
      <c r="O313">
        <v>3.7999999999999999E-2</v>
      </c>
      <c r="P313" s="17">
        <v>0</v>
      </c>
      <c r="Q313" s="17">
        <v>0</v>
      </c>
      <c r="R313">
        <v>0</v>
      </c>
      <c r="S313" s="17">
        <f>Q313-R313</f>
        <v>0</v>
      </c>
      <c r="T313">
        <v>3.7999999999999999E-2</v>
      </c>
      <c r="U313">
        <v>0</v>
      </c>
      <c r="V313">
        <v>0</v>
      </c>
      <c r="W313" s="17">
        <f>O313-(R313+S313+T313+U313+V313)</f>
        <v>0</v>
      </c>
      <c r="X313" s="2">
        <v>46230</v>
      </c>
    </row>
    <row r="314" spans="1:29" ht="15.75" customHeight="1" x14ac:dyDescent="0.2">
      <c r="A314" t="s">
        <v>141</v>
      </c>
      <c r="B314" t="s">
        <v>165</v>
      </c>
      <c r="C314" t="s">
        <v>236</v>
      </c>
      <c r="D314" t="s">
        <v>237</v>
      </c>
      <c r="E314" t="s">
        <v>28</v>
      </c>
      <c r="F314" t="s">
        <v>28</v>
      </c>
      <c r="H314" s="7" t="s">
        <v>524</v>
      </c>
      <c r="I314" s="11" t="s">
        <v>239</v>
      </c>
      <c r="J314" s="3" t="s">
        <v>40</v>
      </c>
      <c r="K314">
        <v>0.29399999999999998</v>
      </c>
      <c r="L314">
        <v>0.29399999999999998</v>
      </c>
      <c r="M314" s="2">
        <v>46014</v>
      </c>
      <c r="O314" s="17">
        <v>0.29399999999999998</v>
      </c>
      <c r="P314" s="17">
        <v>0.29399999999999998</v>
      </c>
      <c r="Q314" s="17">
        <v>0.29399999999999998</v>
      </c>
      <c r="R314">
        <v>9.9000000000000005E-2</v>
      </c>
      <c r="S314" s="17">
        <f>Q314-R314</f>
        <v>0.19499999999999998</v>
      </c>
      <c r="T314">
        <v>0</v>
      </c>
      <c r="U314">
        <v>0</v>
      </c>
      <c r="V314">
        <v>0</v>
      </c>
      <c r="W314" s="17">
        <f>O314-(R314+S314+T314+U314+V314)</f>
        <v>0</v>
      </c>
      <c r="X314" s="2">
        <v>46230</v>
      </c>
    </row>
    <row r="315" spans="1:29" ht="15.75" customHeight="1" x14ac:dyDescent="0.2">
      <c r="A315" t="s">
        <v>141</v>
      </c>
      <c r="B315" t="s">
        <v>165</v>
      </c>
      <c r="C315" t="s">
        <v>634</v>
      </c>
      <c r="D315" t="s">
        <v>237</v>
      </c>
      <c r="E315" t="s">
        <v>78</v>
      </c>
      <c r="F315" t="s">
        <v>78</v>
      </c>
      <c r="H315" s="7" t="s">
        <v>639</v>
      </c>
      <c r="I315" s="11" t="s">
        <v>640</v>
      </c>
      <c r="J315" s="3" t="s">
        <v>40</v>
      </c>
      <c r="K315">
        <v>1.839</v>
      </c>
      <c r="L315">
        <v>4.5999999999999996</v>
      </c>
      <c r="M315" s="2">
        <v>45930</v>
      </c>
      <c r="O315" s="17">
        <v>1.839</v>
      </c>
      <c r="P315" s="17">
        <v>1.839</v>
      </c>
      <c r="Q315" s="17">
        <v>1.839</v>
      </c>
      <c r="R315">
        <v>0.92</v>
      </c>
      <c r="S315" s="17">
        <v>0.92</v>
      </c>
      <c r="T315">
        <v>0</v>
      </c>
      <c r="U315">
        <v>0</v>
      </c>
      <c r="V315">
        <v>0</v>
      </c>
      <c r="W315" s="17">
        <v>0</v>
      </c>
      <c r="X315" s="2">
        <v>46230</v>
      </c>
      <c r="Y315" t="s">
        <v>1083</v>
      </c>
    </row>
    <row r="316" spans="1:29" s="26" customFormat="1" ht="15.75" customHeight="1" x14ac:dyDescent="0.2">
      <c r="A316" t="s">
        <v>141</v>
      </c>
      <c r="B316" t="s">
        <v>165</v>
      </c>
      <c r="C316" t="s">
        <v>312</v>
      </c>
      <c r="D316" t="s">
        <v>313</v>
      </c>
      <c r="E316" t="s">
        <v>28</v>
      </c>
      <c r="F316" t="s">
        <v>28</v>
      </c>
      <c r="G316"/>
      <c r="H316" s="7" t="s">
        <v>314</v>
      </c>
      <c r="I316" s="11" t="s">
        <v>315</v>
      </c>
      <c r="J316" s="3" t="s">
        <v>40</v>
      </c>
      <c r="K316">
        <v>0.71699999999999997</v>
      </c>
      <c r="L316">
        <v>3.8</v>
      </c>
      <c r="M316" s="2">
        <v>44753</v>
      </c>
      <c r="N316" s="2">
        <v>45117</v>
      </c>
      <c r="O316">
        <v>0.71699999999999997</v>
      </c>
      <c r="P316" s="17">
        <v>0</v>
      </c>
      <c r="Q316" s="17">
        <v>0</v>
      </c>
      <c r="R316">
        <v>0</v>
      </c>
      <c r="S316" s="17">
        <f t="shared" ref="S316:S328" si="15">Q316-R316</f>
        <v>0</v>
      </c>
      <c r="T316">
        <v>0</v>
      </c>
      <c r="U316">
        <v>0</v>
      </c>
      <c r="V316">
        <v>0.71799999999999997</v>
      </c>
      <c r="W316" s="17">
        <v>0</v>
      </c>
      <c r="X316" s="2">
        <v>46230</v>
      </c>
      <c r="Y316" t="s">
        <v>1084</v>
      </c>
      <c r="Z316"/>
      <c r="AA316"/>
      <c r="AB316"/>
      <c r="AC316"/>
    </row>
    <row r="317" spans="1:29" ht="15.75" customHeight="1" x14ac:dyDescent="0.2">
      <c r="A317" t="s">
        <v>141</v>
      </c>
      <c r="B317" t="s">
        <v>165</v>
      </c>
      <c r="C317" t="s">
        <v>166</v>
      </c>
      <c r="D317" t="s">
        <v>212</v>
      </c>
      <c r="E317" t="s">
        <v>44</v>
      </c>
      <c r="F317" t="s">
        <v>44</v>
      </c>
      <c r="H317" s="8" t="s">
        <v>213</v>
      </c>
      <c r="I317" s="11" t="s">
        <v>214</v>
      </c>
      <c r="J317" s="3" t="s">
        <v>40</v>
      </c>
      <c r="K317">
        <v>0.60199999999999998</v>
      </c>
      <c r="L317">
        <v>0.60199999999999998</v>
      </c>
      <c r="M317" s="2">
        <v>44439</v>
      </c>
      <c r="N317" s="2">
        <v>44810</v>
      </c>
      <c r="O317">
        <v>0.60199999999999998</v>
      </c>
      <c r="P317" s="17">
        <v>0</v>
      </c>
      <c r="Q317" s="17">
        <v>0</v>
      </c>
      <c r="R317">
        <v>0</v>
      </c>
      <c r="S317" s="17">
        <f t="shared" si="15"/>
        <v>0</v>
      </c>
      <c r="T317">
        <v>0</v>
      </c>
      <c r="U317">
        <v>0</v>
      </c>
      <c r="V317">
        <v>0</v>
      </c>
      <c r="W317" s="17">
        <f>O317-(R317+S317+T317+U317+V317)</f>
        <v>0.60199999999999998</v>
      </c>
      <c r="X317" s="2">
        <v>46230</v>
      </c>
    </row>
    <row r="318" spans="1:29" ht="15.75" customHeight="1" x14ac:dyDescent="0.2">
      <c r="A318" t="s">
        <v>141</v>
      </c>
      <c r="B318" t="s">
        <v>165</v>
      </c>
      <c r="C318" t="s">
        <v>166</v>
      </c>
      <c r="D318" t="s">
        <v>212</v>
      </c>
      <c r="E318" t="s">
        <v>44</v>
      </c>
      <c r="F318" t="s">
        <v>44</v>
      </c>
      <c r="H318" s="8" t="s">
        <v>593</v>
      </c>
      <c r="I318" s="11" t="s">
        <v>594</v>
      </c>
      <c r="J318" s="3" t="s">
        <v>40</v>
      </c>
      <c r="K318">
        <v>8.6999999999999994E-2</v>
      </c>
      <c r="L318">
        <v>8.6999999999999994E-2</v>
      </c>
      <c r="M318" s="2">
        <v>44813</v>
      </c>
      <c r="N318" s="2">
        <v>44812</v>
      </c>
      <c r="O318">
        <v>8.6999999999999994E-2</v>
      </c>
      <c r="P318" s="17">
        <v>0</v>
      </c>
      <c r="Q318" s="17">
        <v>0</v>
      </c>
      <c r="R318">
        <v>0</v>
      </c>
      <c r="S318" s="17">
        <f t="shared" si="15"/>
        <v>0</v>
      </c>
      <c r="T318">
        <v>0</v>
      </c>
      <c r="U318">
        <v>0</v>
      </c>
      <c r="V318">
        <v>8.6999999999999994E-2</v>
      </c>
      <c r="W318" s="17">
        <f>O318-(R318+S318+T318+U318+V318)</f>
        <v>0</v>
      </c>
      <c r="X318" s="2">
        <v>46230</v>
      </c>
    </row>
    <row r="319" spans="1:29" ht="15.75" customHeight="1" x14ac:dyDescent="0.2">
      <c r="A319" t="s">
        <v>141</v>
      </c>
      <c r="B319" t="s">
        <v>165</v>
      </c>
      <c r="C319" t="s">
        <v>476</v>
      </c>
      <c r="D319" t="s">
        <v>212</v>
      </c>
      <c r="E319" t="s">
        <v>44</v>
      </c>
      <c r="F319" t="s">
        <v>44</v>
      </c>
      <c r="H319" s="8" t="s">
        <v>501</v>
      </c>
      <c r="I319" s="11" t="s">
        <v>502</v>
      </c>
      <c r="J319" s="3" t="s">
        <v>40</v>
      </c>
      <c r="K319">
        <v>1.1000000000000001</v>
      </c>
      <c r="L319">
        <v>1.1000000000000001</v>
      </c>
      <c r="M319" s="2">
        <v>45176</v>
      </c>
      <c r="N319" s="2">
        <v>45541</v>
      </c>
      <c r="O319">
        <v>1.1000000000000001</v>
      </c>
      <c r="P319" s="17">
        <v>0</v>
      </c>
      <c r="Q319" s="17">
        <v>0</v>
      </c>
      <c r="R319">
        <v>0</v>
      </c>
      <c r="S319" s="17">
        <f t="shared" si="15"/>
        <v>0</v>
      </c>
      <c r="T319">
        <v>0</v>
      </c>
      <c r="U319">
        <v>1.143</v>
      </c>
      <c r="V319">
        <v>0</v>
      </c>
      <c r="W319" s="17">
        <v>0</v>
      </c>
      <c r="X319" s="2">
        <v>46230</v>
      </c>
    </row>
    <row r="320" spans="1:29" s="25" customFormat="1" ht="15.75" customHeight="1" x14ac:dyDescent="0.2">
      <c r="A320" t="s">
        <v>141</v>
      </c>
      <c r="B320" t="s">
        <v>165</v>
      </c>
      <c r="C320" t="s">
        <v>747</v>
      </c>
      <c r="D320" t="s">
        <v>212</v>
      </c>
      <c r="E320" t="s">
        <v>44</v>
      </c>
      <c r="F320" t="s">
        <v>44</v>
      </c>
      <c r="G320"/>
      <c r="H320" s="7" t="s">
        <v>756</v>
      </c>
      <c r="I320" s="11" t="s">
        <v>757</v>
      </c>
      <c r="J320" s="3" t="s">
        <v>40</v>
      </c>
      <c r="K320">
        <v>9.5000000000000001E-2</v>
      </c>
      <c r="L320">
        <v>9.5000000000000001E-2</v>
      </c>
      <c r="M320" s="2">
        <v>45178</v>
      </c>
      <c r="N320" s="2">
        <v>45543</v>
      </c>
      <c r="O320">
        <v>9.5000000000000001E-2</v>
      </c>
      <c r="P320" s="17">
        <v>0</v>
      </c>
      <c r="Q320" s="17">
        <v>0</v>
      </c>
      <c r="R320">
        <v>0</v>
      </c>
      <c r="S320" s="17">
        <f t="shared" si="15"/>
        <v>0</v>
      </c>
      <c r="T320">
        <v>0</v>
      </c>
      <c r="U320">
        <v>9.5000000000000001E-2</v>
      </c>
      <c r="V320">
        <v>0</v>
      </c>
      <c r="W320" s="17">
        <f>O320-(R320+S320+T320+U320+V320)</f>
        <v>0</v>
      </c>
      <c r="X320" s="2">
        <v>46230</v>
      </c>
      <c r="Y320"/>
      <c r="Z320"/>
      <c r="AA320"/>
      <c r="AB320"/>
      <c r="AC320"/>
    </row>
    <row r="321" spans="1:29" ht="15.75" customHeight="1" x14ac:dyDescent="0.2">
      <c r="A321" t="s">
        <v>141</v>
      </c>
      <c r="B321" t="s">
        <v>165</v>
      </c>
      <c r="C321" t="s">
        <v>476</v>
      </c>
      <c r="D321" t="s">
        <v>212</v>
      </c>
      <c r="E321" t="s">
        <v>44</v>
      </c>
      <c r="F321" t="s">
        <v>44</v>
      </c>
      <c r="H321" s="7" t="s">
        <v>503</v>
      </c>
      <c r="I321" s="11" t="s">
        <v>504</v>
      </c>
      <c r="J321" s="3" t="s">
        <v>40</v>
      </c>
      <c r="K321">
        <v>1.2</v>
      </c>
      <c r="L321">
        <v>1.2</v>
      </c>
      <c r="M321" s="2">
        <v>45565</v>
      </c>
      <c r="N321" s="2">
        <v>45929</v>
      </c>
      <c r="O321">
        <v>1.2</v>
      </c>
      <c r="P321" s="17">
        <v>0</v>
      </c>
      <c r="Q321" s="17">
        <v>0</v>
      </c>
      <c r="R321">
        <v>0</v>
      </c>
      <c r="S321" s="17">
        <f t="shared" si="15"/>
        <v>0</v>
      </c>
      <c r="T321">
        <v>1.2</v>
      </c>
      <c r="U321">
        <v>0</v>
      </c>
      <c r="V321">
        <v>0</v>
      </c>
      <c r="W321" s="17">
        <f>O321-(R321+S321+T321+U321+V321)</f>
        <v>0</v>
      </c>
      <c r="X321" s="2">
        <v>46230</v>
      </c>
    </row>
    <row r="322" spans="1:29" ht="15.75" customHeight="1" x14ac:dyDescent="0.2">
      <c r="A322" t="s">
        <v>141</v>
      </c>
      <c r="B322" t="s">
        <v>165</v>
      </c>
      <c r="C322" t="s">
        <v>1050</v>
      </c>
      <c r="D322" t="s">
        <v>212</v>
      </c>
      <c r="E322" t="s">
        <v>44</v>
      </c>
      <c r="F322" t="s">
        <v>44</v>
      </c>
      <c r="H322" s="7" t="s">
        <v>477</v>
      </c>
      <c r="I322" s="11" t="s">
        <v>478</v>
      </c>
      <c r="J322" s="3" t="s">
        <v>40</v>
      </c>
      <c r="K322">
        <v>0.09</v>
      </c>
      <c r="L322">
        <v>0.09</v>
      </c>
      <c r="M322" s="2">
        <v>45906</v>
      </c>
      <c r="O322" s="17">
        <v>0.09</v>
      </c>
      <c r="P322" s="17">
        <v>0.09</v>
      </c>
      <c r="Q322" s="17">
        <v>0.09</v>
      </c>
      <c r="R322">
        <v>0</v>
      </c>
      <c r="S322" s="17">
        <f t="shared" si="15"/>
        <v>0.09</v>
      </c>
      <c r="T322">
        <v>0</v>
      </c>
      <c r="U322">
        <v>0</v>
      </c>
      <c r="V322">
        <v>0</v>
      </c>
      <c r="W322" s="17">
        <f>O322-(R322+S322+T322+U322+V322)</f>
        <v>0</v>
      </c>
      <c r="X322" s="2">
        <v>46230</v>
      </c>
    </row>
    <row r="323" spans="1:29" ht="15.75" customHeight="1" x14ac:dyDescent="0.2">
      <c r="A323" t="s">
        <v>141</v>
      </c>
      <c r="B323" t="s">
        <v>165</v>
      </c>
      <c r="C323" t="s">
        <v>189</v>
      </c>
      <c r="D323" t="s">
        <v>189</v>
      </c>
      <c r="E323" t="s">
        <v>78</v>
      </c>
      <c r="F323" t="s">
        <v>78</v>
      </c>
      <c r="H323" s="7" t="s">
        <v>190</v>
      </c>
      <c r="I323" s="11" t="s">
        <v>191</v>
      </c>
      <c r="J323" s="3" t="s">
        <v>31</v>
      </c>
      <c r="K323">
        <v>0.40500000000000003</v>
      </c>
      <c r="L323">
        <v>0.40500000000000003</v>
      </c>
      <c r="M323" s="2">
        <v>45193</v>
      </c>
      <c r="N323" s="2">
        <v>45558</v>
      </c>
      <c r="O323">
        <v>0.40500000000000003</v>
      </c>
      <c r="P323" s="17">
        <v>0</v>
      </c>
      <c r="Q323" s="17">
        <v>0</v>
      </c>
      <c r="R323">
        <v>0</v>
      </c>
      <c r="S323" s="17">
        <f t="shared" si="15"/>
        <v>0</v>
      </c>
      <c r="T323">
        <v>0</v>
      </c>
      <c r="U323">
        <v>0.40500000000000003</v>
      </c>
      <c r="V323">
        <v>0</v>
      </c>
      <c r="W323" s="17">
        <f>O323-(R323+S323+T323+U323+V323)</f>
        <v>0</v>
      </c>
      <c r="X323" s="2">
        <v>46230</v>
      </c>
    </row>
    <row r="324" spans="1:29" ht="15.75" customHeight="1" x14ac:dyDescent="0.2">
      <c r="A324" t="s">
        <v>141</v>
      </c>
      <c r="B324" t="s">
        <v>165</v>
      </c>
      <c r="C324" t="s">
        <v>189</v>
      </c>
      <c r="D324" t="s">
        <v>189</v>
      </c>
      <c r="E324" t="s">
        <v>78</v>
      </c>
      <c r="F324" t="s">
        <v>78</v>
      </c>
      <c r="H324" s="7" t="s">
        <v>540</v>
      </c>
      <c r="I324" s="11" t="s">
        <v>191</v>
      </c>
      <c r="J324" s="3" t="s">
        <v>31</v>
      </c>
      <c r="K324">
        <v>4.2</v>
      </c>
      <c r="L324">
        <v>4.2</v>
      </c>
      <c r="M324" s="2">
        <v>44463</v>
      </c>
      <c r="N324" s="2">
        <v>45923</v>
      </c>
      <c r="O324">
        <v>4.2</v>
      </c>
      <c r="P324" s="17">
        <v>0</v>
      </c>
      <c r="Q324" s="17">
        <v>0</v>
      </c>
      <c r="R324">
        <v>0</v>
      </c>
      <c r="S324" s="17">
        <f t="shared" si="15"/>
        <v>0</v>
      </c>
      <c r="T324">
        <v>1.304</v>
      </c>
      <c r="U324">
        <v>0.98399999999999999</v>
      </c>
      <c r="V324">
        <v>0.98399999999999999</v>
      </c>
      <c r="W324" s="17">
        <v>0.96</v>
      </c>
      <c r="X324" s="2">
        <v>46230</v>
      </c>
    </row>
    <row r="325" spans="1:29" ht="15.75" customHeight="1" x14ac:dyDescent="0.2">
      <c r="A325" t="s">
        <v>141</v>
      </c>
      <c r="B325" t="s">
        <v>165</v>
      </c>
      <c r="C325" t="s">
        <v>189</v>
      </c>
      <c r="D325" t="s">
        <v>189</v>
      </c>
      <c r="E325" t="s">
        <v>44</v>
      </c>
      <c r="F325" t="s">
        <v>44</v>
      </c>
      <c r="H325" s="7" t="s">
        <v>541</v>
      </c>
      <c r="I325" s="11" t="s">
        <v>542</v>
      </c>
      <c r="J325" s="3" t="s">
        <v>91</v>
      </c>
      <c r="K325">
        <v>0.02</v>
      </c>
      <c r="L325">
        <v>0.02</v>
      </c>
      <c r="M325" s="2">
        <v>45505</v>
      </c>
      <c r="N325" s="2">
        <v>45869</v>
      </c>
      <c r="O325" s="17">
        <v>0.02</v>
      </c>
      <c r="P325" s="17">
        <v>0</v>
      </c>
      <c r="Q325" s="17">
        <v>0</v>
      </c>
      <c r="R325">
        <v>0</v>
      </c>
      <c r="S325" s="17">
        <f t="shared" si="15"/>
        <v>0</v>
      </c>
      <c r="T325">
        <v>0.02</v>
      </c>
      <c r="U325">
        <v>0</v>
      </c>
      <c r="V325">
        <v>0</v>
      </c>
      <c r="W325" s="17">
        <f>O325-(R325+S325+T325+U325+V325)</f>
        <v>0</v>
      </c>
      <c r="X325" s="2">
        <v>46230</v>
      </c>
      <c r="Y325" s="7" t="s">
        <v>1085</v>
      </c>
    </row>
    <row r="326" spans="1:29" ht="15.75" customHeight="1" x14ac:dyDescent="0.2">
      <c r="A326" t="s">
        <v>141</v>
      </c>
      <c r="B326" t="s">
        <v>165</v>
      </c>
      <c r="C326" t="s">
        <v>189</v>
      </c>
      <c r="D326" t="s">
        <v>189</v>
      </c>
      <c r="E326" t="s">
        <v>44</v>
      </c>
      <c r="F326" t="s">
        <v>44</v>
      </c>
      <c r="H326" s="7" t="s">
        <v>543</v>
      </c>
      <c r="I326" s="11" t="s">
        <v>544</v>
      </c>
      <c r="J326" s="3" t="s">
        <v>91</v>
      </c>
      <c r="K326">
        <v>0.02</v>
      </c>
      <c r="L326">
        <v>0.02</v>
      </c>
      <c r="M326" s="2">
        <v>45870</v>
      </c>
      <c r="O326" s="17">
        <v>0.02</v>
      </c>
      <c r="P326" s="17">
        <v>0.02</v>
      </c>
      <c r="Q326" s="17">
        <v>0.02</v>
      </c>
      <c r="R326">
        <v>0</v>
      </c>
      <c r="S326" s="17">
        <f t="shared" si="15"/>
        <v>0.02</v>
      </c>
      <c r="T326">
        <v>0</v>
      </c>
      <c r="U326">
        <v>0</v>
      </c>
      <c r="V326">
        <v>0</v>
      </c>
      <c r="W326" s="17">
        <f>O326-(R326+S326+T326+U326+V326)</f>
        <v>0</v>
      </c>
      <c r="X326" s="2">
        <v>46230</v>
      </c>
    </row>
    <row r="327" spans="1:29" ht="15.75" customHeight="1" x14ac:dyDescent="0.2">
      <c r="A327" t="s">
        <v>141</v>
      </c>
      <c r="B327" t="s">
        <v>165</v>
      </c>
      <c r="C327" t="s">
        <v>276</v>
      </c>
      <c r="D327" t="s">
        <v>326</v>
      </c>
      <c r="E327" t="s">
        <v>44</v>
      </c>
      <c r="F327" t="s">
        <v>44</v>
      </c>
      <c r="H327" s="7" t="s">
        <v>327</v>
      </c>
      <c r="I327" s="11" t="s">
        <v>328</v>
      </c>
      <c r="J327" s="3" t="s">
        <v>40</v>
      </c>
      <c r="K327">
        <v>0.29499999999999998</v>
      </c>
      <c r="L327">
        <v>0.29499999999999998</v>
      </c>
      <c r="M327" s="2">
        <v>44462</v>
      </c>
      <c r="N327" s="2">
        <v>44833</v>
      </c>
      <c r="O327">
        <v>0.29499999999999998</v>
      </c>
      <c r="P327" s="17">
        <v>0</v>
      </c>
      <c r="Q327" s="17">
        <v>0</v>
      </c>
      <c r="R327">
        <v>0</v>
      </c>
      <c r="S327" s="17">
        <f t="shared" si="15"/>
        <v>0</v>
      </c>
      <c r="T327">
        <v>0</v>
      </c>
      <c r="U327">
        <v>0</v>
      </c>
      <c r="V327">
        <v>0</v>
      </c>
      <c r="W327" s="17">
        <f>O327-(R327+S327+T327+U327+V327)</f>
        <v>0.29499999999999998</v>
      </c>
      <c r="X327" s="2">
        <v>46230</v>
      </c>
    </row>
    <row r="328" spans="1:29" s="26" customFormat="1" ht="15.75" customHeight="1" x14ac:dyDescent="0.2">
      <c r="A328" t="s">
        <v>141</v>
      </c>
      <c r="B328" t="s">
        <v>165</v>
      </c>
      <c r="C328" t="s">
        <v>1054</v>
      </c>
      <c r="D328" t="s">
        <v>326</v>
      </c>
      <c r="E328" t="s">
        <v>44</v>
      </c>
      <c r="F328" t="s">
        <v>44</v>
      </c>
      <c r="G328"/>
      <c r="H328" s="7" t="s">
        <v>750</v>
      </c>
      <c r="I328" s="11" t="s">
        <v>751</v>
      </c>
      <c r="J328" s="3" t="s">
        <v>40</v>
      </c>
      <c r="K328">
        <v>0.13</v>
      </c>
      <c r="L328">
        <v>0.13</v>
      </c>
      <c r="M328" s="2">
        <v>45565</v>
      </c>
      <c r="N328" s="2">
        <v>45929</v>
      </c>
      <c r="O328" s="17">
        <v>0.13</v>
      </c>
      <c r="P328" s="17">
        <v>0</v>
      </c>
      <c r="Q328" s="17">
        <v>0</v>
      </c>
      <c r="R328">
        <v>0</v>
      </c>
      <c r="S328" s="17">
        <f t="shared" si="15"/>
        <v>0</v>
      </c>
      <c r="T328">
        <v>0.13</v>
      </c>
      <c r="U328">
        <v>0</v>
      </c>
      <c r="V328">
        <v>0</v>
      </c>
      <c r="W328" s="17">
        <f>O328-(R328+S328+T328+U328+V328)</f>
        <v>0</v>
      </c>
      <c r="X328" s="2">
        <v>46230</v>
      </c>
      <c r="Y328" s="20" t="s">
        <v>1086</v>
      </c>
      <c r="Z328"/>
      <c r="AA328"/>
      <c r="AB328"/>
      <c r="AC328"/>
    </row>
    <row r="329" spans="1:29" ht="15.75" customHeight="1" x14ac:dyDescent="0.2">
      <c r="A329" t="s">
        <v>141</v>
      </c>
      <c r="B329" t="s">
        <v>165</v>
      </c>
      <c r="C329" t="s">
        <v>276</v>
      </c>
      <c r="D329" t="s">
        <v>326</v>
      </c>
      <c r="E329" t="s">
        <v>44</v>
      </c>
      <c r="F329" t="s">
        <v>44</v>
      </c>
      <c r="H329" s="7" t="s">
        <v>1011</v>
      </c>
      <c r="I329" s="11" t="s">
        <v>1012</v>
      </c>
      <c r="J329" s="3" t="s">
        <v>40</v>
      </c>
      <c r="K329">
        <v>0.13300000000000001</v>
      </c>
      <c r="L329">
        <v>0.13300000000000001</v>
      </c>
      <c r="M329" s="2">
        <v>45930</v>
      </c>
      <c r="O329" s="17">
        <v>0.13300000000000001</v>
      </c>
      <c r="P329" s="17">
        <v>0.13300000000000001</v>
      </c>
      <c r="Q329" s="17">
        <v>0.13300000000000001</v>
      </c>
      <c r="R329">
        <v>0</v>
      </c>
      <c r="S329" s="17">
        <v>0.13300000000000001</v>
      </c>
      <c r="T329">
        <v>0</v>
      </c>
      <c r="U329">
        <v>0</v>
      </c>
      <c r="V329">
        <v>0</v>
      </c>
      <c r="W329" s="17">
        <f>O329-(R329+S329+T329+U329+V329)</f>
        <v>0</v>
      </c>
      <c r="X329" s="2">
        <v>46230</v>
      </c>
    </row>
    <row r="330" spans="1:29" s="26" customFormat="1" ht="15.75" customHeight="1" x14ac:dyDescent="0.2">
      <c r="A330" t="s">
        <v>141</v>
      </c>
      <c r="B330" t="s">
        <v>165</v>
      </c>
      <c r="C330" t="s">
        <v>208</v>
      </c>
      <c r="D330" t="s">
        <v>209</v>
      </c>
      <c r="E330" t="s">
        <v>78</v>
      </c>
      <c r="F330" t="s">
        <v>78</v>
      </c>
      <c r="G330"/>
      <c r="H330" s="7" t="s">
        <v>210</v>
      </c>
      <c r="I330" s="11" t="s">
        <v>211</v>
      </c>
      <c r="J330" s="3" t="s">
        <v>31</v>
      </c>
      <c r="K330">
        <v>1.5</v>
      </c>
      <c r="L330">
        <v>1.5</v>
      </c>
      <c r="M330" s="2">
        <v>44463</v>
      </c>
      <c r="N330" s="2">
        <v>45923</v>
      </c>
      <c r="O330">
        <v>1.5</v>
      </c>
      <c r="P330" s="17">
        <v>0</v>
      </c>
      <c r="Q330" s="17">
        <v>0</v>
      </c>
      <c r="R330">
        <v>0</v>
      </c>
      <c r="S330" s="17">
        <f>Q330-R330</f>
        <v>0</v>
      </c>
      <c r="T330">
        <v>0.379</v>
      </c>
      <c r="U330">
        <v>0.37</v>
      </c>
      <c r="V330">
        <v>0.36099999999999999</v>
      </c>
      <c r="W330" s="17">
        <v>0.35199999999999998</v>
      </c>
      <c r="X330" s="2">
        <v>46230</v>
      </c>
      <c r="Y330"/>
      <c r="Z330"/>
      <c r="AA330"/>
      <c r="AB330"/>
      <c r="AC330"/>
    </row>
    <row r="331" spans="1:29" ht="15.75" customHeight="1" x14ac:dyDescent="0.2">
      <c r="A331" t="s">
        <v>141</v>
      </c>
      <c r="B331" t="s">
        <v>165</v>
      </c>
      <c r="C331" t="s">
        <v>836</v>
      </c>
      <c r="D331" t="s">
        <v>209</v>
      </c>
      <c r="E331" t="s">
        <v>44</v>
      </c>
      <c r="F331" t="s">
        <v>44</v>
      </c>
      <c r="H331" s="7" t="s">
        <v>837</v>
      </c>
      <c r="I331" s="11" t="s">
        <v>838</v>
      </c>
      <c r="J331" s="3" t="s">
        <v>40</v>
      </c>
      <c r="K331">
        <v>1.9</v>
      </c>
      <c r="L331">
        <v>5.7</v>
      </c>
      <c r="M331" s="2">
        <v>45923</v>
      </c>
      <c r="O331" s="17">
        <v>1.9</v>
      </c>
      <c r="P331" s="17">
        <v>1.9</v>
      </c>
      <c r="Q331" s="17">
        <v>1.9</v>
      </c>
      <c r="R331">
        <v>0</v>
      </c>
      <c r="S331" s="17">
        <f>Q331-R331</f>
        <v>1.9</v>
      </c>
      <c r="T331">
        <v>0</v>
      </c>
      <c r="U331">
        <v>0</v>
      </c>
      <c r="V331">
        <v>0</v>
      </c>
      <c r="W331" s="17">
        <f>O331-(R331+S331+T331+U331+V331)</f>
        <v>0</v>
      </c>
      <c r="X331" s="2">
        <v>46230</v>
      </c>
      <c r="Y331" s="7" t="s">
        <v>1087</v>
      </c>
    </row>
    <row r="332" spans="1:29" ht="15.75" customHeight="1" x14ac:dyDescent="0.2">
      <c r="A332" t="s">
        <v>141</v>
      </c>
      <c r="B332" t="s">
        <v>325</v>
      </c>
      <c r="C332" t="s">
        <v>360</v>
      </c>
      <c r="D332" t="s">
        <v>361</v>
      </c>
      <c r="E332" t="s">
        <v>44</v>
      </c>
      <c r="F332" t="s">
        <v>44</v>
      </c>
      <c r="H332" s="7" t="s">
        <v>362</v>
      </c>
      <c r="I332" s="12" t="s">
        <v>363</v>
      </c>
      <c r="J332" s="3" t="s">
        <v>91</v>
      </c>
      <c r="K332">
        <v>0.19900000000000001</v>
      </c>
      <c r="L332">
        <v>0.34499999999999997</v>
      </c>
      <c r="M332" s="2">
        <v>45199</v>
      </c>
      <c r="O332" s="17">
        <v>0.19900000000000001</v>
      </c>
      <c r="P332" s="17">
        <v>6.9000000000000006E-2</v>
      </c>
      <c r="Q332" s="17">
        <v>6.9000000000000006E-2</v>
      </c>
      <c r="R332">
        <v>0</v>
      </c>
      <c r="S332">
        <v>6.9000000000000006E-2</v>
      </c>
      <c r="T332">
        <v>6.6000000000000003E-2</v>
      </c>
      <c r="U332">
        <v>6.4000000000000001E-2</v>
      </c>
      <c r="V332">
        <v>0</v>
      </c>
      <c r="W332">
        <v>0</v>
      </c>
      <c r="X332" s="2">
        <v>46230</v>
      </c>
    </row>
    <row r="333" spans="1:29" ht="15.75" customHeight="1" x14ac:dyDescent="0.2">
      <c r="A333" t="s">
        <v>141</v>
      </c>
      <c r="B333" t="s">
        <v>325</v>
      </c>
      <c r="C333" t="s">
        <v>360</v>
      </c>
      <c r="D333" t="s">
        <v>361</v>
      </c>
      <c r="E333" t="s">
        <v>44</v>
      </c>
      <c r="F333" t="s">
        <v>44</v>
      </c>
      <c r="H333" s="7" t="s">
        <v>764</v>
      </c>
      <c r="I333" s="12" t="s">
        <v>363</v>
      </c>
      <c r="J333" s="3" t="s">
        <v>91</v>
      </c>
      <c r="K333">
        <v>0.11899999999999999</v>
      </c>
      <c r="L333">
        <v>0.11899999999999999</v>
      </c>
      <c r="M333" s="2">
        <v>44097</v>
      </c>
      <c r="N333" s="2">
        <v>45198</v>
      </c>
      <c r="O333" s="17">
        <v>0.11899999999999999</v>
      </c>
      <c r="P333" s="17">
        <v>0</v>
      </c>
      <c r="Q333" s="17">
        <v>0</v>
      </c>
      <c r="R333">
        <v>0</v>
      </c>
      <c r="S333">
        <v>0</v>
      </c>
      <c r="T333">
        <v>0</v>
      </c>
      <c r="U333">
        <v>0</v>
      </c>
      <c r="V333">
        <v>4.1000000000000002E-2</v>
      </c>
      <c r="W333">
        <v>0.04</v>
      </c>
      <c r="X333" s="2">
        <v>46230</v>
      </c>
    </row>
    <row r="334" spans="1:29" ht="15.75" customHeight="1" x14ac:dyDescent="0.2">
      <c r="A334" t="s">
        <v>141</v>
      </c>
      <c r="B334" t="s">
        <v>325</v>
      </c>
      <c r="C334" t="s">
        <v>1088</v>
      </c>
      <c r="D334" t="s">
        <v>1089</v>
      </c>
      <c r="E334" t="s">
        <v>44</v>
      </c>
      <c r="F334" t="s">
        <v>44</v>
      </c>
      <c r="H334" s="7" t="s">
        <v>675</v>
      </c>
      <c r="I334" s="11" t="s">
        <v>676</v>
      </c>
      <c r="J334" s="3" t="s">
        <v>31</v>
      </c>
      <c r="K334">
        <v>24.5</v>
      </c>
      <c r="L334">
        <v>24.5</v>
      </c>
      <c r="M334" s="2">
        <v>44252</v>
      </c>
      <c r="O334" s="17">
        <v>24.5</v>
      </c>
      <c r="P334" s="17">
        <v>7.1379999999999999</v>
      </c>
      <c r="Q334" s="17">
        <v>7.1379999999999999</v>
      </c>
      <c r="R334">
        <v>2.3759999999999999</v>
      </c>
      <c r="S334" s="17">
        <v>4.7619999999999996</v>
      </c>
      <c r="T334">
        <v>4.6180000000000003</v>
      </c>
      <c r="U334">
        <v>4.4859999999999998</v>
      </c>
      <c r="V334">
        <v>4.359</v>
      </c>
      <c r="W334" s="17">
        <v>3.9169999999999998</v>
      </c>
      <c r="X334" s="2">
        <v>46230</v>
      </c>
    </row>
    <row r="335" spans="1:29" ht="15.75" customHeight="1" x14ac:dyDescent="0.2">
      <c r="A335" t="s">
        <v>141</v>
      </c>
      <c r="B335" t="s">
        <v>325</v>
      </c>
      <c r="C335" t="s">
        <v>547</v>
      </c>
      <c r="D335" t="s">
        <v>1089</v>
      </c>
      <c r="E335" t="s">
        <v>28</v>
      </c>
      <c r="F335" t="s">
        <v>28</v>
      </c>
      <c r="H335" s="7" t="s">
        <v>548</v>
      </c>
      <c r="I335" s="11" t="s">
        <v>549</v>
      </c>
      <c r="J335" s="3" t="s">
        <v>40</v>
      </c>
      <c r="K335">
        <v>0.252</v>
      </c>
      <c r="L335">
        <v>0.252</v>
      </c>
      <c r="M335" s="2">
        <v>44927</v>
      </c>
      <c r="N335" s="2">
        <v>45291</v>
      </c>
      <c r="O335">
        <v>0.252</v>
      </c>
      <c r="P335" s="17">
        <v>0</v>
      </c>
      <c r="Q335" s="17">
        <v>0</v>
      </c>
      <c r="R335">
        <v>0</v>
      </c>
      <c r="S335" s="17">
        <f>Q335-R335</f>
        <v>0</v>
      </c>
      <c r="T335">
        <v>0</v>
      </c>
      <c r="U335">
        <v>0</v>
      </c>
      <c r="V335">
        <v>0.252</v>
      </c>
      <c r="W335" s="17">
        <f>O335-(R335+S335+T335+U335+V335)</f>
        <v>0</v>
      </c>
      <c r="X335" s="2">
        <v>46230</v>
      </c>
    </row>
    <row r="336" spans="1:29" ht="15.75" customHeight="1" x14ac:dyDescent="0.2">
      <c r="A336" t="s">
        <v>141</v>
      </c>
      <c r="B336" t="s">
        <v>325</v>
      </c>
      <c r="C336" t="s">
        <v>547</v>
      </c>
      <c r="D336" t="s">
        <v>1089</v>
      </c>
      <c r="E336" t="s">
        <v>28</v>
      </c>
      <c r="F336" t="s">
        <v>28</v>
      </c>
      <c r="H336" s="7" t="s">
        <v>550</v>
      </c>
      <c r="I336" s="11" t="s">
        <v>549</v>
      </c>
      <c r="J336" s="3" t="s">
        <v>40</v>
      </c>
      <c r="K336">
        <v>0.26600000000000001</v>
      </c>
      <c r="L336">
        <v>0.26600000000000001</v>
      </c>
      <c r="M336" s="2">
        <v>45292</v>
      </c>
      <c r="N336" s="2">
        <v>45657</v>
      </c>
      <c r="O336">
        <v>0.26600000000000001</v>
      </c>
      <c r="P336" s="17">
        <v>0</v>
      </c>
      <c r="Q336" s="17">
        <v>0</v>
      </c>
      <c r="R336">
        <v>0</v>
      </c>
      <c r="S336" s="17">
        <f>Q336-R336</f>
        <v>0</v>
      </c>
      <c r="T336">
        <v>0</v>
      </c>
      <c r="U336">
        <v>0.26600000000000001</v>
      </c>
      <c r="V336">
        <v>0</v>
      </c>
      <c r="W336" s="17">
        <f>O336-(R336+S336+T336+U336+V336)</f>
        <v>0</v>
      </c>
      <c r="X336" s="2">
        <v>46230</v>
      </c>
    </row>
    <row r="337" spans="1:29" ht="15.75" customHeight="1" x14ac:dyDescent="0.2">
      <c r="A337" t="s">
        <v>141</v>
      </c>
      <c r="B337" t="s">
        <v>325</v>
      </c>
      <c r="C337" t="s">
        <v>547</v>
      </c>
      <c r="D337" t="s">
        <v>1089</v>
      </c>
      <c r="E337" t="s">
        <v>49</v>
      </c>
      <c r="F337" t="s">
        <v>49</v>
      </c>
      <c r="H337" s="7" t="s">
        <v>551</v>
      </c>
      <c r="I337" s="11" t="s">
        <v>552</v>
      </c>
      <c r="J337" s="3" t="s">
        <v>40</v>
      </c>
      <c r="K337">
        <v>2.4</v>
      </c>
      <c r="L337">
        <v>2.4</v>
      </c>
      <c r="M337" s="2">
        <v>45199</v>
      </c>
      <c r="N337" s="2">
        <v>45806</v>
      </c>
      <c r="O337">
        <v>2.4</v>
      </c>
      <c r="P337" s="17">
        <v>0</v>
      </c>
      <c r="Q337" s="17">
        <v>0</v>
      </c>
      <c r="R337">
        <v>0</v>
      </c>
      <c r="S337" s="17">
        <f>Q337-R337</f>
        <v>0</v>
      </c>
      <c r="T337">
        <v>0.83199999999999996</v>
      </c>
      <c r="U337">
        <v>1.6160000000000001</v>
      </c>
      <c r="V337">
        <v>0</v>
      </c>
      <c r="W337" s="17">
        <v>0</v>
      </c>
      <c r="X337" s="2">
        <v>46230</v>
      </c>
    </row>
    <row r="338" spans="1:29" ht="15.75" customHeight="1" x14ac:dyDescent="0.2">
      <c r="A338" t="s">
        <v>141</v>
      </c>
      <c r="B338" t="s">
        <v>325</v>
      </c>
      <c r="C338" t="s">
        <v>547</v>
      </c>
      <c r="D338" t="s">
        <v>1089</v>
      </c>
      <c r="E338" t="s">
        <v>36</v>
      </c>
      <c r="F338" t="s">
        <v>553</v>
      </c>
      <c r="H338" s="7" t="s">
        <v>554</v>
      </c>
      <c r="I338" s="11" t="s">
        <v>555</v>
      </c>
      <c r="J338" s="3" t="s">
        <v>40</v>
      </c>
      <c r="K338">
        <v>0.16800000000000001</v>
      </c>
      <c r="L338">
        <v>0.16800000000000001</v>
      </c>
      <c r="M338" s="2">
        <v>45962</v>
      </c>
      <c r="O338" s="17">
        <v>0.16800000000000001</v>
      </c>
      <c r="P338" s="17">
        <v>0.16800000000000001</v>
      </c>
      <c r="Q338" s="17">
        <v>0.16800000000000001</v>
      </c>
      <c r="R338">
        <v>0</v>
      </c>
      <c r="S338" s="17">
        <f>Q338-R338</f>
        <v>0.16800000000000001</v>
      </c>
      <c r="T338">
        <v>0</v>
      </c>
      <c r="U338">
        <v>0</v>
      </c>
      <c r="V338">
        <v>0</v>
      </c>
      <c r="W338" s="17">
        <f>O338-(R338+S338+T338+U338+V338)</f>
        <v>0</v>
      </c>
      <c r="X338" s="2">
        <v>46230</v>
      </c>
    </row>
    <row r="339" spans="1:29" ht="15.75" customHeight="1" x14ac:dyDescent="0.2">
      <c r="A339" t="s">
        <v>141</v>
      </c>
      <c r="B339" t="s">
        <v>325</v>
      </c>
      <c r="C339" t="s">
        <v>547</v>
      </c>
      <c r="D339" t="s">
        <v>1089</v>
      </c>
      <c r="E339" t="s">
        <v>49</v>
      </c>
      <c r="F339" t="s">
        <v>49</v>
      </c>
      <c r="H339" s="7" t="s">
        <v>556</v>
      </c>
      <c r="I339" s="11" t="s">
        <v>557</v>
      </c>
      <c r="J339" s="3" t="s">
        <v>40</v>
      </c>
      <c r="K339">
        <v>3.6</v>
      </c>
      <c r="L339">
        <v>3.7</v>
      </c>
      <c r="M339" s="2">
        <v>45746</v>
      </c>
      <c r="O339" s="17">
        <v>3.6</v>
      </c>
      <c r="P339" s="17">
        <v>3.6</v>
      </c>
      <c r="Q339" s="17">
        <v>3.6</v>
      </c>
      <c r="R339">
        <v>1.86</v>
      </c>
      <c r="S339" s="17">
        <v>1.7110000000000001</v>
      </c>
      <c r="T339">
        <v>0</v>
      </c>
      <c r="U339">
        <v>0</v>
      </c>
      <c r="V339">
        <v>0</v>
      </c>
      <c r="W339" s="17">
        <v>0</v>
      </c>
      <c r="X339" s="2">
        <v>46230</v>
      </c>
    </row>
    <row r="340" spans="1:29" ht="15.75" customHeight="1" x14ac:dyDescent="0.2">
      <c r="A340" t="s">
        <v>141</v>
      </c>
      <c r="B340" t="s">
        <v>325</v>
      </c>
      <c r="C340" t="s">
        <v>670</v>
      </c>
      <c r="D340" t="s">
        <v>1089</v>
      </c>
      <c r="E340" t="s">
        <v>28</v>
      </c>
      <c r="F340" t="s">
        <v>28</v>
      </c>
      <c r="H340" s="7" t="s">
        <v>671</v>
      </c>
      <c r="I340" s="11" t="s">
        <v>672</v>
      </c>
      <c r="J340" s="3" t="s">
        <v>40</v>
      </c>
      <c r="K340">
        <v>17</v>
      </c>
      <c r="L340">
        <v>25.7</v>
      </c>
      <c r="M340" s="2">
        <v>44896</v>
      </c>
      <c r="O340">
        <v>17</v>
      </c>
      <c r="P340" s="17">
        <v>7.93</v>
      </c>
      <c r="Q340" s="17">
        <v>7.93</v>
      </c>
      <c r="R340">
        <v>7.1559999999999997</v>
      </c>
      <c r="S340" s="17">
        <v>0.77400000000000002</v>
      </c>
      <c r="T340">
        <v>3.2109999999999999</v>
      </c>
      <c r="U340">
        <v>3.089</v>
      </c>
      <c r="V340">
        <v>2.8180000000000001</v>
      </c>
      <c r="W340" s="17">
        <v>0</v>
      </c>
      <c r="X340" s="2">
        <v>46230</v>
      </c>
    </row>
    <row r="341" spans="1:29" ht="15.75" customHeight="1" x14ac:dyDescent="0.2">
      <c r="A341" t="s">
        <v>141</v>
      </c>
      <c r="B341" t="s">
        <v>493</v>
      </c>
      <c r="C341" t="s">
        <v>1074</v>
      </c>
      <c r="D341" t="s">
        <v>448</v>
      </c>
      <c r="E341" t="s">
        <v>44</v>
      </c>
      <c r="F341" t="s">
        <v>44</v>
      </c>
      <c r="H341" s="7" t="s">
        <v>494</v>
      </c>
      <c r="I341" s="12" t="s">
        <v>495</v>
      </c>
      <c r="J341" s="3" t="s">
        <v>40</v>
      </c>
      <c r="K341">
        <v>10</v>
      </c>
      <c r="L341">
        <v>10</v>
      </c>
      <c r="M341" s="2">
        <v>46181</v>
      </c>
      <c r="O341" s="17">
        <v>10</v>
      </c>
      <c r="P341" s="17">
        <v>10</v>
      </c>
      <c r="Q341" s="17">
        <v>10</v>
      </c>
      <c r="R341" s="17">
        <v>10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2">
        <v>46230</v>
      </c>
      <c r="Y341" s="27" t="s">
        <v>1090</v>
      </c>
    </row>
    <row r="342" spans="1:29" ht="15.75" customHeight="1" x14ac:dyDescent="0.2">
      <c r="A342" t="s">
        <v>141</v>
      </c>
      <c r="B342" t="s">
        <v>258</v>
      </c>
      <c r="C342" t="s">
        <v>103</v>
      </c>
      <c r="D342" t="s">
        <v>103</v>
      </c>
      <c r="E342" t="s">
        <v>44</v>
      </c>
      <c r="F342" t="s">
        <v>44</v>
      </c>
      <c r="H342" s="7" t="s">
        <v>505</v>
      </c>
      <c r="I342" s="11" t="s">
        <v>506</v>
      </c>
      <c r="J342" s="3" t="s">
        <v>31</v>
      </c>
      <c r="K342">
        <v>8.6999999999999993</v>
      </c>
      <c r="L342">
        <v>8.6999999999999993</v>
      </c>
      <c r="M342" s="2">
        <v>43606</v>
      </c>
      <c r="N342" s="2">
        <v>44316</v>
      </c>
      <c r="O342" s="17">
        <v>-2.3E-2</v>
      </c>
      <c r="P342" s="17">
        <v>0</v>
      </c>
      <c r="Q342" s="17">
        <v>0</v>
      </c>
      <c r="R342">
        <v>0</v>
      </c>
      <c r="S342" s="17">
        <f>Q342-R342</f>
        <v>0</v>
      </c>
      <c r="T342">
        <v>0</v>
      </c>
      <c r="U342">
        <v>0</v>
      </c>
      <c r="V342">
        <v>0</v>
      </c>
      <c r="W342" s="17">
        <f>O342-(R342+S342+T342+U342+V342)</f>
        <v>-2.3E-2</v>
      </c>
      <c r="X342" s="2">
        <v>46230</v>
      </c>
    </row>
    <row r="343" spans="1:29" ht="15.75" customHeight="1" x14ac:dyDescent="0.2">
      <c r="A343" t="s">
        <v>141</v>
      </c>
      <c r="B343" t="s">
        <v>258</v>
      </c>
      <c r="C343" t="s">
        <v>1091</v>
      </c>
      <c r="D343" t="s">
        <v>103</v>
      </c>
      <c r="E343" t="s">
        <v>44</v>
      </c>
      <c r="F343" t="s">
        <v>44</v>
      </c>
      <c r="H343" s="7" t="s">
        <v>513</v>
      </c>
      <c r="I343" s="11" t="s">
        <v>514</v>
      </c>
      <c r="J343" s="3" t="s">
        <v>31</v>
      </c>
      <c r="K343">
        <v>24</v>
      </c>
      <c r="L343">
        <v>24</v>
      </c>
      <c r="M343" s="2">
        <v>44344</v>
      </c>
      <c r="O343">
        <v>24</v>
      </c>
      <c r="P343" s="17">
        <v>6.0659999999999998</v>
      </c>
      <c r="Q343" s="17">
        <v>6.0659999999999998</v>
      </c>
      <c r="R343">
        <v>1.2</v>
      </c>
      <c r="S343" s="17">
        <v>4.8659999999999997</v>
      </c>
      <c r="T343">
        <v>4.7240000000000002</v>
      </c>
      <c r="U343">
        <v>4.5860000000000003</v>
      </c>
      <c r="V343">
        <v>8.61</v>
      </c>
      <c r="W343" s="17">
        <v>0</v>
      </c>
      <c r="X343" s="2">
        <v>46230</v>
      </c>
      <c r="Y343" t="s">
        <v>1092</v>
      </c>
    </row>
    <row r="344" spans="1:29" ht="15.75" customHeight="1" x14ac:dyDescent="0.2">
      <c r="A344" t="s">
        <v>141</v>
      </c>
      <c r="B344" t="s">
        <v>258</v>
      </c>
      <c r="C344" t="s">
        <v>102</v>
      </c>
      <c r="D344" t="s">
        <v>103</v>
      </c>
      <c r="E344" t="s">
        <v>36</v>
      </c>
      <c r="F344" t="s">
        <v>133</v>
      </c>
      <c r="H344" s="7" t="s">
        <v>465</v>
      </c>
      <c r="I344" s="11" t="s">
        <v>466</v>
      </c>
      <c r="J344" s="3" t="s">
        <v>40</v>
      </c>
      <c r="K344">
        <v>5.9</v>
      </c>
      <c r="L344">
        <v>5.9</v>
      </c>
      <c r="M344" s="2">
        <v>45017</v>
      </c>
      <c r="O344" s="17">
        <v>5.9</v>
      </c>
      <c r="P344" s="17">
        <v>2.3460000000000001</v>
      </c>
      <c r="Q344" s="17">
        <v>2.3460000000000001</v>
      </c>
      <c r="R344">
        <v>0</v>
      </c>
      <c r="S344" s="17">
        <f t="shared" ref="S344:S351" si="16">Q344-R344</f>
        <v>2.3460000000000001</v>
      </c>
      <c r="T344">
        <v>1.825</v>
      </c>
      <c r="U344">
        <v>1.7030000000000001</v>
      </c>
      <c r="V344">
        <v>0</v>
      </c>
      <c r="W344" s="17">
        <v>0</v>
      </c>
      <c r="X344" s="2">
        <v>46230</v>
      </c>
      <c r="Y344" s="7" t="s">
        <v>1093</v>
      </c>
    </row>
    <row r="345" spans="1:29" ht="15.75" customHeight="1" x14ac:dyDescent="0.2">
      <c r="A345" t="s">
        <v>141</v>
      </c>
      <c r="B345" t="s">
        <v>258</v>
      </c>
      <c r="C345" t="s">
        <v>103</v>
      </c>
      <c r="D345" t="s">
        <v>103</v>
      </c>
      <c r="E345" t="s">
        <v>44</v>
      </c>
      <c r="F345" t="s">
        <v>44</v>
      </c>
      <c r="H345" s="7" t="s">
        <v>507</v>
      </c>
      <c r="I345" s="11" t="s">
        <v>508</v>
      </c>
      <c r="J345" s="3" t="s">
        <v>91</v>
      </c>
      <c r="K345">
        <v>6.8</v>
      </c>
      <c r="L345">
        <v>6.8</v>
      </c>
      <c r="M345" s="2">
        <v>43158</v>
      </c>
      <c r="N345" s="2">
        <v>44985</v>
      </c>
      <c r="O345" s="17">
        <v>2.8370000000000002</v>
      </c>
      <c r="P345" s="17">
        <v>0</v>
      </c>
      <c r="Q345" s="17">
        <v>0</v>
      </c>
      <c r="R345">
        <v>0</v>
      </c>
      <c r="S345" s="17">
        <f t="shared" si="16"/>
        <v>0</v>
      </c>
      <c r="T345">
        <v>0</v>
      </c>
      <c r="U345">
        <v>0</v>
      </c>
      <c r="V345">
        <v>1.44</v>
      </c>
      <c r="W345" s="17">
        <f>O345-(R345+S345+T345+U345+V345)</f>
        <v>1.3970000000000002</v>
      </c>
      <c r="X345" s="2">
        <v>46230</v>
      </c>
    </row>
    <row r="346" spans="1:29" s="26" customFormat="1" ht="15.75" customHeight="1" x14ac:dyDescent="0.2">
      <c r="A346" t="s">
        <v>141</v>
      </c>
      <c r="B346" t="s">
        <v>258</v>
      </c>
      <c r="C346" t="s">
        <v>410</v>
      </c>
      <c r="D346" t="s">
        <v>411</v>
      </c>
      <c r="E346" t="s">
        <v>78</v>
      </c>
      <c r="F346" t="s">
        <v>78</v>
      </c>
      <c r="G346"/>
      <c r="H346" s="7" t="s">
        <v>412</v>
      </c>
      <c r="I346" s="11" t="s">
        <v>413</v>
      </c>
      <c r="J346" s="3" t="s">
        <v>91</v>
      </c>
      <c r="K346">
        <v>5.1999999999999998E-2</v>
      </c>
      <c r="L346">
        <v>0.27600000000000002</v>
      </c>
      <c r="M346" s="2">
        <v>46045</v>
      </c>
      <c r="N346"/>
      <c r="O346">
        <v>5.1999999999999998E-2</v>
      </c>
      <c r="P346">
        <v>5.1999999999999998E-2</v>
      </c>
      <c r="Q346">
        <v>5.1999999999999998E-2</v>
      </c>
      <c r="R346">
        <v>5.1999999999999998E-2</v>
      </c>
      <c r="S346" s="17">
        <f t="shared" si="16"/>
        <v>0</v>
      </c>
      <c r="T346">
        <v>0</v>
      </c>
      <c r="U346">
        <v>0</v>
      </c>
      <c r="V346">
        <v>0</v>
      </c>
      <c r="W346" s="17">
        <f>O346-(R346+S346+T346+U346+V346)</f>
        <v>0</v>
      </c>
      <c r="X346" s="2">
        <v>46230</v>
      </c>
      <c r="Y346"/>
      <c r="Z346"/>
      <c r="AA346"/>
      <c r="AB346"/>
      <c r="AC346"/>
    </row>
    <row r="347" spans="1:29" ht="15.75" customHeight="1" x14ac:dyDescent="0.2">
      <c r="A347" t="s">
        <v>141</v>
      </c>
      <c r="B347" t="s">
        <v>258</v>
      </c>
      <c r="C347" t="s">
        <v>259</v>
      </c>
      <c r="D347" t="s">
        <v>259</v>
      </c>
      <c r="E347" t="s">
        <v>78</v>
      </c>
      <c r="F347" t="s">
        <v>78</v>
      </c>
      <c r="H347" s="7" t="s">
        <v>260</v>
      </c>
      <c r="I347" s="11" t="s">
        <v>261</v>
      </c>
      <c r="J347" s="3" t="s">
        <v>31</v>
      </c>
      <c r="K347">
        <v>0.28599999999999998</v>
      </c>
      <c r="L347">
        <v>0.39600000000000002</v>
      </c>
      <c r="M347" s="2">
        <v>44013</v>
      </c>
      <c r="N347" s="2">
        <v>45351</v>
      </c>
      <c r="O347" s="17">
        <v>0.214</v>
      </c>
      <c r="P347" s="17">
        <v>0</v>
      </c>
      <c r="Q347" s="17">
        <v>0</v>
      </c>
      <c r="R347">
        <v>0</v>
      </c>
      <c r="S347" s="17">
        <f t="shared" si="16"/>
        <v>0</v>
      </c>
      <c r="T347">
        <v>0</v>
      </c>
      <c r="U347">
        <v>7.0999999999999994E-2</v>
      </c>
      <c r="V347">
        <v>7.0999999999999994E-2</v>
      </c>
      <c r="W347" s="17">
        <v>7.0999999999999994E-2</v>
      </c>
      <c r="X347" s="2">
        <v>46230</v>
      </c>
    </row>
    <row r="348" spans="1:29" ht="15.75" customHeight="1" x14ac:dyDescent="0.2">
      <c r="A348" t="s">
        <v>141</v>
      </c>
      <c r="B348" t="s">
        <v>258</v>
      </c>
      <c r="C348" t="s">
        <v>259</v>
      </c>
      <c r="D348" t="s">
        <v>259</v>
      </c>
      <c r="E348" t="s">
        <v>44</v>
      </c>
      <c r="F348" t="s">
        <v>44</v>
      </c>
      <c r="H348" s="7" t="s">
        <v>462</v>
      </c>
      <c r="I348" s="11" t="s">
        <v>191</v>
      </c>
      <c r="J348" s="3" t="s">
        <v>31</v>
      </c>
      <c r="K348">
        <v>1.2</v>
      </c>
      <c r="L348">
        <v>1.2</v>
      </c>
      <c r="M348" s="2">
        <v>45184</v>
      </c>
      <c r="O348">
        <v>1.2</v>
      </c>
      <c r="P348" s="17">
        <v>0.22500000000000001</v>
      </c>
      <c r="Q348" s="17">
        <v>0.22500000000000001</v>
      </c>
      <c r="R348">
        <v>0</v>
      </c>
      <c r="S348" s="17">
        <f t="shared" si="16"/>
        <v>0.22500000000000001</v>
      </c>
      <c r="T348">
        <v>0.5</v>
      </c>
      <c r="U348">
        <v>0.51400000000000001</v>
      </c>
      <c r="V348">
        <v>0</v>
      </c>
      <c r="W348" s="17">
        <v>0</v>
      </c>
      <c r="X348" s="2">
        <v>46230</v>
      </c>
      <c r="Y348" s="20" t="s">
        <v>1094</v>
      </c>
    </row>
    <row r="349" spans="1:29" ht="15.75" customHeight="1" x14ac:dyDescent="0.2">
      <c r="A349" t="s">
        <v>141</v>
      </c>
      <c r="B349" t="s">
        <v>258</v>
      </c>
      <c r="C349" t="s">
        <v>259</v>
      </c>
      <c r="D349" t="s">
        <v>259</v>
      </c>
      <c r="E349" t="s">
        <v>78</v>
      </c>
      <c r="F349" t="s">
        <v>78</v>
      </c>
      <c r="H349" s="7" t="s">
        <v>463</v>
      </c>
      <c r="I349" s="11" t="s">
        <v>464</v>
      </c>
      <c r="J349" s="3" t="s">
        <v>31</v>
      </c>
      <c r="K349">
        <v>0.35799999999999998</v>
      </c>
      <c r="L349">
        <v>0.63600000000000001</v>
      </c>
      <c r="M349" s="2">
        <v>45308</v>
      </c>
      <c r="O349">
        <v>0.35799999999999998</v>
      </c>
      <c r="P349" s="17">
        <v>0.11899999999999999</v>
      </c>
      <c r="Q349" s="17">
        <v>0.219</v>
      </c>
      <c r="R349">
        <v>0.1</v>
      </c>
      <c r="S349" s="17">
        <f t="shared" si="16"/>
        <v>0.11899999999999999</v>
      </c>
      <c r="T349">
        <v>0.13900000000000001</v>
      </c>
      <c r="U349">
        <v>0</v>
      </c>
      <c r="V349">
        <v>0</v>
      </c>
      <c r="W349" s="17">
        <f>O349-(R349+S349+T349+U349+V349)</f>
        <v>0</v>
      </c>
      <c r="X349" s="2">
        <v>46230</v>
      </c>
    </row>
    <row r="350" spans="1:29" ht="15.75" customHeight="1" x14ac:dyDescent="0.2">
      <c r="A350" t="s">
        <v>141</v>
      </c>
      <c r="B350" t="s">
        <v>142</v>
      </c>
      <c r="C350" t="s">
        <v>321</v>
      </c>
      <c r="D350" t="s">
        <v>322</v>
      </c>
      <c r="E350" t="s">
        <v>44</v>
      </c>
      <c r="F350" t="s">
        <v>44</v>
      </c>
      <c r="H350" s="7" t="s">
        <v>323</v>
      </c>
      <c r="I350" s="11" t="s">
        <v>324</v>
      </c>
      <c r="J350" s="3" t="s">
        <v>228</v>
      </c>
      <c r="K350">
        <v>0.63700000000000001</v>
      </c>
      <c r="L350">
        <v>48.491</v>
      </c>
      <c r="M350" s="2">
        <v>46007</v>
      </c>
      <c r="O350">
        <v>0.63700000000000001</v>
      </c>
      <c r="P350">
        <v>0.63700000000000001</v>
      </c>
      <c r="Q350">
        <v>0.63700000000000001</v>
      </c>
      <c r="R350">
        <v>0</v>
      </c>
      <c r="S350" s="17">
        <f t="shared" si="16"/>
        <v>0.63700000000000001</v>
      </c>
      <c r="T350">
        <v>0</v>
      </c>
      <c r="U350">
        <v>0</v>
      </c>
      <c r="V350">
        <v>0</v>
      </c>
      <c r="W350" s="17">
        <f>O350-(R350+S350+T350+U350+V350)</f>
        <v>0</v>
      </c>
      <c r="X350" s="2">
        <v>46230</v>
      </c>
      <c r="Y350" s="7" t="s">
        <v>1095</v>
      </c>
    </row>
    <row r="351" spans="1:29" ht="15.75" customHeight="1" x14ac:dyDescent="0.2">
      <c r="A351" t="s">
        <v>141</v>
      </c>
      <c r="B351" t="s">
        <v>142</v>
      </c>
      <c r="C351" t="s">
        <v>224</v>
      </c>
      <c r="D351" t="s">
        <v>225</v>
      </c>
      <c r="E351" t="s">
        <v>44</v>
      </c>
      <c r="F351" t="s">
        <v>44</v>
      </c>
      <c r="H351" s="8" t="s">
        <v>226</v>
      </c>
      <c r="I351" s="11" t="s">
        <v>227</v>
      </c>
      <c r="J351" s="3" t="s">
        <v>228</v>
      </c>
      <c r="K351">
        <v>2.7</v>
      </c>
      <c r="L351">
        <v>201.44300000000001</v>
      </c>
      <c r="M351" s="2">
        <v>46007</v>
      </c>
      <c r="O351">
        <v>2.7</v>
      </c>
      <c r="P351">
        <v>2.7</v>
      </c>
      <c r="Q351">
        <v>2.7</v>
      </c>
      <c r="R351">
        <v>0</v>
      </c>
      <c r="S351" s="17">
        <f t="shared" si="16"/>
        <v>2.7</v>
      </c>
      <c r="T351">
        <v>0</v>
      </c>
      <c r="U351">
        <v>0</v>
      </c>
      <c r="V351">
        <v>0</v>
      </c>
      <c r="W351" s="17">
        <f>O351-(R351+S351+T351+U351+V351)</f>
        <v>0</v>
      </c>
      <c r="X351" s="2">
        <v>46230</v>
      </c>
    </row>
    <row r="352" spans="1:29" ht="15.75" customHeight="1" x14ac:dyDescent="0.2">
      <c r="A352" t="s">
        <v>141</v>
      </c>
      <c r="B352" t="s">
        <v>142</v>
      </c>
      <c r="C352" t="s">
        <v>143</v>
      </c>
      <c r="D352" t="s">
        <v>144</v>
      </c>
      <c r="E352" t="s">
        <v>44</v>
      </c>
      <c r="F352" t="s">
        <v>44</v>
      </c>
      <c r="H352" s="7" t="s">
        <v>145</v>
      </c>
      <c r="I352" s="11" t="s">
        <v>146</v>
      </c>
      <c r="J352" s="3" t="s">
        <v>40</v>
      </c>
      <c r="K352">
        <v>7.3730000000000002</v>
      </c>
      <c r="L352">
        <v>7.3730000000000002</v>
      </c>
      <c r="M352" s="2">
        <v>45291</v>
      </c>
      <c r="O352" s="17">
        <v>7.3730000000000002</v>
      </c>
      <c r="P352" s="17">
        <v>7.3730000000000002</v>
      </c>
      <c r="Q352" s="17">
        <v>7.3730000000000002</v>
      </c>
      <c r="R352">
        <v>0</v>
      </c>
      <c r="S352" s="17">
        <v>7.3730000000000002</v>
      </c>
      <c r="T352">
        <v>0</v>
      </c>
      <c r="U352">
        <v>0</v>
      </c>
      <c r="V352">
        <v>0</v>
      </c>
      <c r="W352" s="17">
        <v>0</v>
      </c>
      <c r="X352" s="2">
        <v>46230</v>
      </c>
      <c r="Y352" t="s">
        <v>1096</v>
      </c>
    </row>
    <row r="353" spans="1:29" ht="15.75" customHeight="1" x14ac:dyDescent="0.2">
      <c r="A353" t="s">
        <v>141</v>
      </c>
      <c r="B353" t="s">
        <v>142</v>
      </c>
      <c r="C353" t="s">
        <v>143</v>
      </c>
      <c r="D353" t="s">
        <v>144</v>
      </c>
      <c r="E353" t="s">
        <v>44</v>
      </c>
      <c r="F353" t="s">
        <v>44</v>
      </c>
      <c r="H353" s="8" t="s">
        <v>839</v>
      </c>
      <c r="I353" s="11" t="s">
        <v>227</v>
      </c>
      <c r="J353" s="3" t="s">
        <v>228</v>
      </c>
      <c r="K353">
        <v>4.8</v>
      </c>
      <c r="L353">
        <v>365.82100000000003</v>
      </c>
      <c r="M353" s="2">
        <v>46007</v>
      </c>
      <c r="O353">
        <v>4.8</v>
      </c>
      <c r="P353">
        <v>4.8</v>
      </c>
      <c r="Q353">
        <v>4.8</v>
      </c>
      <c r="R353">
        <v>0</v>
      </c>
      <c r="S353" s="17">
        <f>Q353-R353</f>
        <v>4.8</v>
      </c>
      <c r="T353">
        <v>0</v>
      </c>
      <c r="U353">
        <v>0</v>
      </c>
      <c r="V353">
        <v>0</v>
      </c>
      <c r="W353" s="17">
        <f>O353-(R353+S353+T353+U353+V353)</f>
        <v>0</v>
      </c>
      <c r="X353" s="2">
        <v>46230</v>
      </c>
    </row>
    <row r="354" spans="1:29" ht="15.75" customHeight="1" x14ac:dyDescent="0.2">
      <c r="A354" t="s">
        <v>141</v>
      </c>
      <c r="B354" t="s">
        <v>142</v>
      </c>
      <c r="C354" t="s">
        <v>266</v>
      </c>
      <c r="D354" t="s">
        <v>267</v>
      </c>
      <c r="E354" t="s">
        <v>44</v>
      </c>
      <c r="F354" t="s">
        <v>44</v>
      </c>
      <c r="H354" s="8" t="s">
        <v>268</v>
      </c>
      <c r="I354" s="11" t="s">
        <v>227</v>
      </c>
      <c r="J354" s="3" t="s">
        <v>228</v>
      </c>
      <c r="K354">
        <v>1.5</v>
      </c>
      <c r="L354">
        <v>113.242</v>
      </c>
      <c r="M354" s="2">
        <v>46372</v>
      </c>
      <c r="O354">
        <v>1.5</v>
      </c>
      <c r="P354">
        <v>1.5</v>
      </c>
      <c r="Q354">
        <v>1.5</v>
      </c>
      <c r="R354">
        <v>0</v>
      </c>
      <c r="S354" s="17">
        <v>1.4870000000000001</v>
      </c>
      <c r="T354">
        <v>0</v>
      </c>
      <c r="U354">
        <v>0</v>
      </c>
      <c r="V354">
        <v>0</v>
      </c>
      <c r="W354" s="17">
        <v>0</v>
      </c>
      <c r="X354" s="2">
        <v>46230</v>
      </c>
    </row>
    <row r="355" spans="1:29" ht="15.75" customHeight="1" x14ac:dyDescent="0.2">
      <c r="A355" t="s">
        <v>141</v>
      </c>
      <c r="B355" t="s">
        <v>142</v>
      </c>
      <c r="C355" t="s">
        <v>301</v>
      </c>
      <c r="D355" t="s">
        <v>302</v>
      </c>
      <c r="E355" t="s">
        <v>44</v>
      </c>
      <c r="F355" t="s">
        <v>44</v>
      </c>
      <c r="H355" s="8" t="s">
        <v>303</v>
      </c>
      <c r="I355" s="11" t="s">
        <v>227</v>
      </c>
      <c r="J355" s="3" t="s">
        <v>228</v>
      </c>
      <c r="K355">
        <v>0.76700000000000002</v>
      </c>
      <c r="L355">
        <v>57.847999999999999</v>
      </c>
      <c r="M355" s="2">
        <v>46007</v>
      </c>
      <c r="O355">
        <v>0.76700000000000002</v>
      </c>
      <c r="P355">
        <v>0.76700000000000002</v>
      </c>
      <c r="Q355">
        <v>0.76700000000000002</v>
      </c>
      <c r="R355">
        <v>0</v>
      </c>
      <c r="S355" s="17">
        <f>Q355-R355</f>
        <v>0.76700000000000002</v>
      </c>
      <c r="T355">
        <v>0</v>
      </c>
      <c r="U355">
        <v>0</v>
      </c>
      <c r="V355">
        <v>0</v>
      </c>
      <c r="W355" s="17">
        <f>O355-(R355+S355+T355+U355+V355)</f>
        <v>0</v>
      </c>
      <c r="X355" s="2">
        <v>46230</v>
      </c>
      <c r="Y355" s="7" t="s">
        <v>1097</v>
      </c>
    </row>
    <row r="356" spans="1:29" ht="15.75" customHeight="1" x14ac:dyDescent="0.2">
      <c r="A356" t="s">
        <v>141</v>
      </c>
      <c r="B356" t="s">
        <v>142</v>
      </c>
      <c r="C356" t="s">
        <v>421</v>
      </c>
      <c r="D356" t="s">
        <v>422</v>
      </c>
      <c r="E356" t="s">
        <v>44</v>
      </c>
      <c r="F356" t="s">
        <v>44</v>
      </c>
      <c r="H356" s="8" t="s">
        <v>423</v>
      </c>
      <c r="I356" s="11" t="s">
        <v>227</v>
      </c>
      <c r="J356" s="3" t="s">
        <v>228</v>
      </c>
      <c r="K356">
        <v>3.5000000000000003E-2</v>
      </c>
      <c r="L356">
        <v>2.6309999999999998</v>
      </c>
      <c r="M356" s="2">
        <v>46007</v>
      </c>
      <c r="O356">
        <v>3.5000000000000003E-2</v>
      </c>
      <c r="P356">
        <v>3.5000000000000003E-2</v>
      </c>
      <c r="Q356">
        <v>3.5000000000000003E-2</v>
      </c>
      <c r="R356">
        <v>0</v>
      </c>
      <c r="S356" s="17">
        <f>Q356-R356</f>
        <v>3.5000000000000003E-2</v>
      </c>
      <c r="T356">
        <v>0</v>
      </c>
      <c r="U356">
        <v>0</v>
      </c>
      <c r="V356">
        <v>0</v>
      </c>
      <c r="W356" s="17">
        <f>O356-(R356+S356+T356+U356+V356)</f>
        <v>0</v>
      </c>
      <c r="X356" s="2">
        <v>46230</v>
      </c>
    </row>
    <row r="357" spans="1:29" ht="15.75" customHeight="1" x14ac:dyDescent="0.2">
      <c r="A357" t="s">
        <v>141</v>
      </c>
      <c r="B357" t="s">
        <v>142</v>
      </c>
      <c r="C357" t="s">
        <v>344</v>
      </c>
      <c r="D357" t="s">
        <v>344</v>
      </c>
      <c r="E357" t="s">
        <v>44</v>
      </c>
      <c r="F357" t="s">
        <v>44</v>
      </c>
      <c r="H357" s="8" t="s">
        <v>345</v>
      </c>
      <c r="I357" s="11" t="s">
        <v>227</v>
      </c>
      <c r="J357" s="3" t="s">
        <v>228</v>
      </c>
      <c r="K357">
        <v>0.34799999999999998</v>
      </c>
      <c r="L357">
        <v>25.577999999999999</v>
      </c>
      <c r="M357" s="2">
        <v>46007</v>
      </c>
      <c r="O357">
        <v>0.34799999999999998</v>
      </c>
      <c r="P357">
        <v>0.34799999999999998</v>
      </c>
      <c r="Q357">
        <v>0.34799999999999998</v>
      </c>
      <c r="R357">
        <v>0</v>
      </c>
      <c r="S357" s="17">
        <f>Q357-R357</f>
        <v>0.34799999999999998</v>
      </c>
      <c r="T357">
        <v>0</v>
      </c>
      <c r="U357">
        <v>0</v>
      </c>
      <c r="V357">
        <v>0</v>
      </c>
      <c r="W357" s="17">
        <f>O357-(R357+S357+T357+U357+V357)</f>
        <v>0</v>
      </c>
      <c r="X357" s="2">
        <v>46230</v>
      </c>
    </row>
    <row r="358" spans="1:29" s="26" customFormat="1" ht="15.75" customHeight="1" x14ac:dyDescent="0.2">
      <c r="A358" t="s">
        <v>141</v>
      </c>
      <c r="B358" t="s">
        <v>142</v>
      </c>
      <c r="C358" t="s">
        <v>262</v>
      </c>
      <c r="D358" t="s">
        <v>263</v>
      </c>
      <c r="E358" t="s">
        <v>44</v>
      </c>
      <c r="F358" t="s">
        <v>44</v>
      </c>
      <c r="G358"/>
      <c r="H358" s="7" t="s">
        <v>264</v>
      </c>
      <c r="I358" s="11" t="s">
        <v>265</v>
      </c>
      <c r="J358" s="3" t="s">
        <v>228</v>
      </c>
      <c r="K358">
        <v>1.6</v>
      </c>
      <c r="L358">
        <v>121.83799999999999</v>
      </c>
      <c r="M358" s="2">
        <v>46007</v>
      </c>
      <c r="N358"/>
      <c r="O358">
        <v>1.6</v>
      </c>
      <c r="P358">
        <v>1.6</v>
      </c>
      <c r="Q358">
        <v>1.6</v>
      </c>
      <c r="R358">
        <v>0</v>
      </c>
      <c r="S358" s="17">
        <f>Q358-R358</f>
        <v>1.6</v>
      </c>
      <c r="T358">
        <v>0</v>
      </c>
      <c r="U358">
        <v>0</v>
      </c>
      <c r="V358">
        <v>0</v>
      </c>
      <c r="W358" s="17">
        <f>O358-(R358+S358+T358+U358+V358)</f>
        <v>0</v>
      </c>
      <c r="X358" s="2">
        <v>46230</v>
      </c>
      <c r="Y358" s="7" t="s">
        <v>1098</v>
      </c>
      <c r="Z358"/>
      <c r="AA358"/>
      <c r="AB358"/>
      <c r="AC358"/>
    </row>
    <row r="359" spans="1:29" ht="15.75" customHeight="1" x14ac:dyDescent="0.2">
      <c r="A359" t="s">
        <v>141</v>
      </c>
      <c r="B359" t="s">
        <v>142</v>
      </c>
      <c r="C359" t="s">
        <v>170</v>
      </c>
      <c r="D359" t="s">
        <v>171</v>
      </c>
      <c r="E359" t="s">
        <v>44</v>
      </c>
      <c r="F359" t="s">
        <v>44</v>
      </c>
      <c r="H359" s="8" t="s">
        <v>172</v>
      </c>
      <c r="I359" s="11" t="s">
        <v>173</v>
      </c>
      <c r="J359" s="3" t="s">
        <v>174</v>
      </c>
      <c r="K359">
        <v>5.7</v>
      </c>
      <c r="L359">
        <v>33.6</v>
      </c>
      <c r="M359" s="2">
        <v>45957</v>
      </c>
      <c r="N359" s="2">
        <v>46047</v>
      </c>
      <c r="O359" s="17">
        <v>5.7</v>
      </c>
      <c r="P359" s="17">
        <v>5.7</v>
      </c>
      <c r="Q359" s="17">
        <v>5.7</v>
      </c>
      <c r="R359">
        <v>4.3899999999999997</v>
      </c>
      <c r="S359" s="17">
        <v>1.288</v>
      </c>
      <c r="T359">
        <v>0</v>
      </c>
      <c r="U359">
        <v>0</v>
      </c>
      <c r="V359">
        <v>0</v>
      </c>
      <c r="W359" s="17">
        <v>0</v>
      </c>
      <c r="X359" s="2">
        <v>46230</v>
      </c>
    </row>
    <row r="360" spans="1:29" s="26" customFormat="1" ht="15.75" customHeight="1" x14ac:dyDescent="0.2">
      <c r="A360" t="s">
        <v>141</v>
      </c>
      <c r="B360" t="s">
        <v>142</v>
      </c>
      <c r="C360" t="s">
        <v>170</v>
      </c>
      <c r="D360" t="s">
        <v>171</v>
      </c>
      <c r="E360" t="s">
        <v>44</v>
      </c>
      <c r="F360" t="s">
        <v>44</v>
      </c>
      <c r="G360"/>
      <c r="H360" s="7" t="s">
        <v>719</v>
      </c>
      <c r="I360" s="11" t="s">
        <v>227</v>
      </c>
      <c r="J360" s="3" t="s">
        <v>228</v>
      </c>
      <c r="K360">
        <v>2.8</v>
      </c>
      <c r="L360">
        <v>217.26599999999999</v>
      </c>
      <c r="M360" s="2">
        <v>46038</v>
      </c>
      <c r="N360"/>
      <c r="O360">
        <v>2.8</v>
      </c>
      <c r="P360">
        <v>2.8</v>
      </c>
      <c r="Q360">
        <v>2.8</v>
      </c>
      <c r="R360">
        <v>2.8130000000000002</v>
      </c>
      <c r="S360" s="17">
        <v>0</v>
      </c>
      <c r="T360">
        <v>0</v>
      </c>
      <c r="U360">
        <v>0</v>
      </c>
      <c r="V360">
        <v>0</v>
      </c>
      <c r="W360" s="17">
        <v>0</v>
      </c>
      <c r="X360" s="2">
        <v>46230</v>
      </c>
      <c r="Y360"/>
      <c r="Z360"/>
      <c r="AA360"/>
      <c r="AB360"/>
      <c r="AC360"/>
    </row>
    <row r="361" spans="1:29" s="26" customFormat="1" ht="15.75" customHeight="1" x14ac:dyDescent="0.2">
      <c r="A361" t="s">
        <v>141</v>
      </c>
      <c r="B361" t="s">
        <v>142</v>
      </c>
      <c r="C361" t="s">
        <v>309</v>
      </c>
      <c r="D361" t="s">
        <v>310</v>
      </c>
      <c r="E361" t="s">
        <v>44</v>
      </c>
      <c r="F361" t="s">
        <v>44</v>
      </c>
      <c r="G361"/>
      <c r="H361" s="8" t="s">
        <v>311</v>
      </c>
      <c r="I361" s="11" t="s">
        <v>227</v>
      </c>
      <c r="J361" s="3" t="s">
        <v>228</v>
      </c>
      <c r="K361">
        <v>0.74099999999999999</v>
      </c>
      <c r="L361">
        <v>55.575000000000003</v>
      </c>
      <c r="M361" s="2">
        <v>46007</v>
      </c>
      <c r="N361"/>
      <c r="O361">
        <v>0.74099999999999999</v>
      </c>
      <c r="P361">
        <v>0.74099999999999999</v>
      </c>
      <c r="Q361">
        <v>0.74099999999999999</v>
      </c>
      <c r="R361">
        <v>0</v>
      </c>
      <c r="S361" s="17">
        <f>Q361-R361</f>
        <v>0.74099999999999999</v>
      </c>
      <c r="T361">
        <v>0</v>
      </c>
      <c r="U361">
        <v>0</v>
      </c>
      <c r="V361">
        <v>0</v>
      </c>
      <c r="W361" s="17">
        <f>O361-(R361+S361+T361+U361+V361)</f>
        <v>0</v>
      </c>
      <c r="X361" s="2">
        <v>46230</v>
      </c>
      <c r="Y361"/>
      <c r="Z361"/>
      <c r="AA361"/>
      <c r="AB361"/>
      <c r="AC361"/>
    </row>
    <row r="362" spans="1:29" s="26" customFormat="1" ht="15.75" customHeight="1" x14ac:dyDescent="0.2">
      <c r="A362" t="s">
        <v>141</v>
      </c>
      <c r="B362" t="s">
        <v>142</v>
      </c>
      <c r="C362" t="s">
        <v>337</v>
      </c>
      <c r="D362" t="s">
        <v>338</v>
      </c>
      <c r="E362" t="s">
        <v>44</v>
      </c>
      <c r="F362" t="s">
        <v>44</v>
      </c>
      <c r="G362"/>
      <c r="H362" s="8" t="s">
        <v>339</v>
      </c>
      <c r="I362" s="11" t="s">
        <v>227</v>
      </c>
      <c r="J362" s="3" t="s">
        <v>228</v>
      </c>
      <c r="K362">
        <v>0.42799999999999999</v>
      </c>
      <c r="L362">
        <v>32.063000000000002</v>
      </c>
      <c r="M362" s="2">
        <v>46007</v>
      </c>
      <c r="N362"/>
      <c r="O362">
        <v>0.42799999999999999</v>
      </c>
      <c r="P362">
        <v>0.42799999999999999</v>
      </c>
      <c r="Q362">
        <v>0.42799999999999999</v>
      </c>
      <c r="R362">
        <v>0</v>
      </c>
      <c r="S362" s="17">
        <f>Q362-R362</f>
        <v>0.42799999999999999</v>
      </c>
      <c r="T362">
        <v>0</v>
      </c>
      <c r="U362">
        <v>0</v>
      </c>
      <c r="V362">
        <v>0</v>
      </c>
      <c r="W362" s="17">
        <f>O362-(R362+S362+T362+U362+V362)</f>
        <v>0</v>
      </c>
      <c r="X362" s="2">
        <v>46230</v>
      </c>
      <c r="Y362"/>
      <c r="Z362"/>
      <c r="AA362"/>
      <c r="AB362"/>
      <c r="AC362"/>
    </row>
    <row r="363" spans="1:29" ht="15.75" customHeight="1" x14ac:dyDescent="0.2">
      <c r="A363" t="s">
        <v>141</v>
      </c>
      <c r="B363" t="s">
        <v>142</v>
      </c>
      <c r="C363" t="s">
        <v>269</v>
      </c>
      <c r="D363" t="s">
        <v>270</v>
      </c>
      <c r="E363" t="s">
        <v>44</v>
      </c>
      <c r="F363" t="s">
        <v>44</v>
      </c>
      <c r="H363" s="7" t="s">
        <v>271</v>
      </c>
      <c r="I363" s="11" t="s">
        <v>272</v>
      </c>
      <c r="J363" s="3" t="s">
        <v>40</v>
      </c>
      <c r="K363">
        <v>1.4</v>
      </c>
      <c r="L363">
        <v>62.2</v>
      </c>
      <c r="M363" s="2">
        <v>46101</v>
      </c>
      <c r="O363" s="17">
        <v>1.446</v>
      </c>
      <c r="P363" s="17">
        <v>1.446</v>
      </c>
      <c r="Q363" s="17">
        <v>1.446</v>
      </c>
      <c r="R363">
        <v>1.446</v>
      </c>
      <c r="S363" s="17">
        <f>Q363-R363</f>
        <v>0</v>
      </c>
      <c r="T363">
        <v>0</v>
      </c>
      <c r="U363">
        <v>0</v>
      </c>
      <c r="V363">
        <v>0</v>
      </c>
      <c r="W363" s="17">
        <f>O363-(R363+S363+T363+U363+V363)</f>
        <v>0</v>
      </c>
      <c r="X363" s="2">
        <v>46230</v>
      </c>
      <c r="Y363" s="7" t="s">
        <v>1099</v>
      </c>
    </row>
    <row r="364" spans="1:29" ht="15.75" customHeight="1" x14ac:dyDescent="0.2">
      <c r="A364" t="s">
        <v>141</v>
      </c>
      <c r="B364" t="s">
        <v>142</v>
      </c>
      <c r="C364" t="s">
        <v>294</v>
      </c>
      <c r="D364" t="s">
        <v>295</v>
      </c>
      <c r="E364" t="s">
        <v>44</v>
      </c>
      <c r="F364" t="s">
        <v>44</v>
      </c>
      <c r="H364" s="7" t="s">
        <v>296</v>
      </c>
      <c r="I364" s="11" t="s">
        <v>227</v>
      </c>
      <c r="J364" s="3" t="s">
        <v>228</v>
      </c>
      <c r="K364">
        <v>0.91</v>
      </c>
      <c r="L364">
        <v>68.230999999999995</v>
      </c>
      <c r="M364" s="2">
        <v>46007</v>
      </c>
      <c r="O364">
        <v>0.91</v>
      </c>
      <c r="P364">
        <v>0.91</v>
      </c>
      <c r="Q364">
        <v>0.91</v>
      </c>
      <c r="R364">
        <v>0</v>
      </c>
      <c r="S364" s="17">
        <f>Q364-R364</f>
        <v>0.91</v>
      </c>
      <c r="T364">
        <v>0</v>
      </c>
      <c r="U364">
        <v>0</v>
      </c>
      <c r="V364">
        <v>0</v>
      </c>
      <c r="W364" s="17">
        <f>O364-(R364+S364+T364+U364+V364)</f>
        <v>0</v>
      </c>
      <c r="X364" s="2">
        <v>46230</v>
      </c>
    </row>
    <row r="365" spans="1:29" ht="15.75" customHeight="1" x14ac:dyDescent="0.2">
      <c r="A365" t="s">
        <v>141</v>
      </c>
      <c r="B365" t="s">
        <v>142</v>
      </c>
      <c r="C365" t="s">
        <v>407</v>
      </c>
      <c r="D365" t="s">
        <v>408</v>
      </c>
      <c r="E365" t="s">
        <v>44</v>
      </c>
      <c r="F365" t="s">
        <v>44</v>
      </c>
      <c r="H365" s="7" t="s">
        <v>409</v>
      </c>
      <c r="I365" s="11" t="s">
        <v>227</v>
      </c>
      <c r="J365" s="3" t="s">
        <v>228</v>
      </c>
      <c r="K365">
        <v>0.128</v>
      </c>
      <c r="L365">
        <v>9.7159999999999993</v>
      </c>
      <c r="M365" s="2">
        <v>46007</v>
      </c>
      <c r="O365">
        <v>0.128</v>
      </c>
      <c r="P365">
        <v>0.128</v>
      </c>
      <c r="Q365">
        <v>0.128</v>
      </c>
      <c r="R365">
        <v>0</v>
      </c>
      <c r="S365" s="17">
        <f>Q365-R365</f>
        <v>0.128</v>
      </c>
      <c r="T365">
        <v>0</v>
      </c>
      <c r="U365">
        <v>0</v>
      </c>
      <c r="V365">
        <v>0</v>
      </c>
      <c r="W365" s="17">
        <f>O365-(R365+S365+T365+U365+V365)</f>
        <v>0</v>
      </c>
      <c r="X365" s="2">
        <v>46230</v>
      </c>
    </row>
    <row r="366" spans="1:29" ht="15.75" customHeight="1" x14ac:dyDescent="0.2">
      <c r="A366" t="s">
        <v>141</v>
      </c>
      <c r="B366" t="s">
        <v>142</v>
      </c>
      <c r="C366" t="s">
        <v>519</v>
      </c>
      <c r="D366" t="s">
        <v>520</v>
      </c>
      <c r="E366" t="s">
        <v>44</v>
      </c>
      <c r="F366" t="s">
        <v>44</v>
      </c>
      <c r="H366" s="8" t="s">
        <v>521</v>
      </c>
      <c r="I366" s="11" t="s">
        <v>522</v>
      </c>
      <c r="J366" s="3" t="s">
        <v>31</v>
      </c>
      <c r="K366">
        <v>7</v>
      </c>
      <c r="L366">
        <v>7</v>
      </c>
      <c r="M366" s="2">
        <v>45951</v>
      </c>
      <c r="N366" s="2">
        <v>46041</v>
      </c>
      <c r="O366">
        <v>7</v>
      </c>
      <c r="P366">
        <v>7</v>
      </c>
      <c r="Q366">
        <v>7</v>
      </c>
      <c r="R366">
        <v>0</v>
      </c>
      <c r="S366" s="17">
        <v>6.9550000000000001</v>
      </c>
      <c r="T366">
        <v>0</v>
      </c>
      <c r="U366">
        <v>0</v>
      </c>
      <c r="V366">
        <v>0</v>
      </c>
      <c r="W366" s="17">
        <v>0</v>
      </c>
      <c r="X366" s="2">
        <v>46230</v>
      </c>
    </row>
    <row r="367" spans="1:29" ht="15.75" customHeight="1" x14ac:dyDescent="0.2">
      <c r="A367" t="s">
        <v>141</v>
      </c>
      <c r="B367" t="s">
        <v>142</v>
      </c>
      <c r="C367" t="s">
        <v>519</v>
      </c>
      <c r="D367" t="s">
        <v>520</v>
      </c>
      <c r="E367" t="s">
        <v>44</v>
      </c>
      <c r="F367" t="s">
        <v>44</v>
      </c>
      <c r="H367" s="8" t="s">
        <v>523</v>
      </c>
      <c r="I367" s="11" t="s">
        <v>227</v>
      </c>
      <c r="J367" s="3" t="s">
        <v>228</v>
      </c>
      <c r="K367">
        <v>1.6</v>
      </c>
      <c r="L367">
        <v>123.167</v>
      </c>
      <c r="M367" s="2">
        <v>46007</v>
      </c>
      <c r="O367">
        <v>1.6</v>
      </c>
      <c r="P367">
        <v>1.6</v>
      </c>
      <c r="Q367">
        <v>1.6</v>
      </c>
      <c r="R367">
        <v>0</v>
      </c>
      <c r="S367" s="17">
        <v>1.6419999999999999</v>
      </c>
      <c r="T367">
        <v>0</v>
      </c>
      <c r="U367">
        <v>0</v>
      </c>
      <c r="V367">
        <v>0</v>
      </c>
      <c r="W367" s="17">
        <v>0</v>
      </c>
      <c r="X367" s="2">
        <v>46230</v>
      </c>
    </row>
    <row r="368" spans="1:29" ht="17" x14ac:dyDescent="0.2">
      <c r="A368" t="s">
        <v>41</v>
      </c>
      <c r="B368" t="s">
        <v>42</v>
      </c>
      <c r="C368" t="s">
        <v>43</v>
      </c>
      <c r="D368" t="s">
        <v>43</v>
      </c>
      <c r="E368" t="s">
        <v>44</v>
      </c>
      <c r="F368" t="s">
        <v>44</v>
      </c>
      <c r="H368" s="7" t="s">
        <v>45</v>
      </c>
      <c r="I368" s="11" t="s">
        <v>46</v>
      </c>
      <c r="J368" s="3" t="s">
        <v>31</v>
      </c>
      <c r="K368">
        <v>37.799999999999997</v>
      </c>
      <c r="L368">
        <v>37.799999999999997</v>
      </c>
      <c r="M368" s="2">
        <v>43432</v>
      </c>
      <c r="N368" s="2">
        <v>44708</v>
      </c>
      <c r="O368" s="17">
        <v>14.295999999999999</v>
      </c>
      <c r="P368" s="17">
        <v>0</v>
      </c>
      <c r="Q368" s="17">
        <v>0</v>
      </c>
      <c r="R368">
        <v>0</v>
      </c>
      <c r="S368" s="17">
        <f>Q368-R368</f>
        <v>0</v>
      </c>
      <c r="T368">
        <v>0</v>
      </c>
      <c r="U368">
        <v>0</v>
      </c>
      <c r="V368">
        <v>2.7290000000000001</v>
      </c>
      <c r="W368" s="17">
        <f>O368-(R368+S368+T368+U368+V368)</f>
        <v>11.567</v>
      </c>
      <c r="X368" s="2">
        <v>46230</v>
      </c>
    </row>
    <row r="369" spans="1:25" ht="15.75" customHeight="1" x14ac:dyDescent="0.2">
      <c r="A369" t="s">
        <v>41</v>
      </c>
      <c r="B369" t="s">
        <v>42</v>
      </c>
      <c r="C369" t="s">
        <v>43</v>
      </c>
      <c r="D369" t="s">
        <v>43</v>
      </c>
      <c r="E369" t="s">
        <v>44</v>
      </c>
      <c r="F369" t="s">
        <v>44</v>
      </c>
      <c r="H369" s="7" t="s">
        <v>615</v>
      </c>
      <c r="I369" s="11" t="s">
        <v>616</v>
      </c>
      <c r="J369" s="3" t="s">
        <v>40</v>
      </c>
      <c r="K369">
        <v>6.9</v>
      </c>
      <c r="L369">
        <v>13.9</v>
      </c>
      <c r="M369" s="2">
        <v>44709</v>
      </c>
      <c r="N369" s="2">
        <v>44897</v>
      </c>
      <c r="O369" s="17">
        <v>6.9</v>
      </c>
      <c r="P369" s="17">
        <v>0</v>
      </c>
      <c r="Q369" s="17">
        <v>0</v>
      </c>
      <c r="R369">
        <v>0</v>
      </c>
      <c r="S369" s="17">
        <f>Q369-R369</f>
        <v>0</v>
      </c>
      <c r="T369">
        <v>0</v>
      </c>
      <c r="U369">
        <v>0</v>
      </c>
      <c r="V369">
        <v>6.9370000000000003</v>
      </c>
      <c r="W369" s="17">
        <v>0</v>
      </c>
      <c r="X369" s="2">
        <v>46230</v>
      </c>
    </row>
    <row r="370" spans="1:25" ht="15.75" customHeight="1" x14ac:dyDescent="0.2">
      <c r="A370" t="s">
        <v>41</v>
      </c>
      <c r="B370" t="s">
        <v>617</v>
      </c>
      <c r="C370" t="s">
        <v>43</v>
      </c>
      <c r="D370" t="s">
        <v>43</v>
      </c>
      <c r="E370" t="s">
        <v>44</v>
      </c>
      <c r="F370" t="s">
        <v>44</v>
      </c>
      <c r="H370" s="7" t="s">
        <v>618</v>
      </c>
      <c r="I370" s="11" t="s">
        <v>619</v>
      </c>
      <c r="J370" s="3" t="s">
        <v>40</v>
      </c>
      <c r="K370">
        <v>43.6</v>
      </c>
      <c r="L370">
        <v>43.6</v>
      </c>
      <c r="M370" s="2">
        <v>43733</v>
      </c>
      <c r="N370" s="2">
        <v>44829</v>
      </c>
      <c r="O370" s="17">
        <v>12.502000000000001</v>
      </c>
      <c r="P370" s="17">
        <v>0</v>
      </c>
      <c r="Q370" s="17">
        <v>0</v>
      </c>
      <c r="R370">
        <v>0</v>
      </c>
      <c r="S370" s="17">
        <f>Q370-R370</f>
        <v>0</v>
      </c>
      <c r="T370">
        <v>0</v>
      </c>
      <c r="U370">
        <v>-5.3999999999999999E-2</v>
      </c>
      <c r="V370">
        <v>0</v>
      </c>
      <c r="W370" s="17">
        <f>O370-(R370+S370+T370+U370+V370)</f>
        <v>12.556000000000001</v>
      </c>
      <c r="X370" s="2">
        <v>46230</v>
      </c>
    </row>
    <row r="371" spans="1:25" ht="15.75" customHeight="1" x14ac:dyDescent="0.2">
      <c r="A371" t="s">
        <v>41</v>
      </c>
      <c r="B371" t="s">
        <v>617</v>
      </c>
      <c r="C371" s="11" t="s">
        <v>43</v>
      </c>
      <c r="D371" s="11" t="s">
        <v>43</v>
      </c>
      <c r="E371" t="s">
        <v>44</v>
      </c>
      <c r="F371" t="s">
        <v>44</v>
      </c>
      <c r="H371" s="7" t="s">
        <v>620</v>
      </c>
      <c r="I371" s="12" t="s">
        <v>621</v>
      </c>
      <c r="J371" s="3" t="s">
        <v>151</v>
      </c>
      <c r="K371">
        <v>45.8</v>
      </c>
      <c r="L371">
        <v>45.8</v>
      </c>
      <c r="M371" s="2">
        <v>46199</v>
      </c>
      <c r="O371" s="17">
        <v>45.8</v>
      </c>
      <c r="P371" s="17">
        <v>45.8</v>
      </c>
      <c r="Q371" s="17">
        <v>45.8</v>
      </c>
      <c r="R371">
        <v>45.8</v>
      </c>
      <c r="S371">
        <v>0</v>
      </c>
      <c r="T371">
        <v>0</v>
      </c>
      <c r="U371">
        <v>0</v>
      </c>
      <c r="V371">
        <v>0</v>
      </c>
      <c r="W371">
        <v>0</v>
      </c>
      <c r="X371" s="2">
        <v>46230</v>
      </c>
    </row>
    <row r="372" spans="1:25" ht="15.75" customHeight="1" x14ac:dyDescent="0.2">
      <c r="A372" t="s">
        <v>41</v>
      </c>
      <c r="B372" t="s">
        <v>617</v>
      </c>
      <c r="C372" s="11" t="s">
        <v>43</v>
      </c>
      <c r="D372" s="11" t="s">
        <v>43</v>
      </c>
      <c r="E372" t="s">
        <v>44</v>
      </c>
      <c r="F372" t="s">
        <v>44</v>
      </c>
      <c r="H372" s="7" t="s">
        <v>622</v>
      </c>
      <c r="I372" s="12" t="s">
        <v>623</v>
      </c>
      <c r="J372" s="3" t="s">
        <v>151</v>
      </c>
      <c r="K372">
        <v>86.3</v>
      </c>
      <c r="L372">
        <v>86.3</v>
      </c>
      <c r="M372" s="2">
        <v>46147</v>
      </c>
      <c r="O372" s="17">
        <v>86.3</v>
      </c>
      <c r="P372" s="17">
        <v>86.3</v>
      </c>
      <c r="Q372" s="17">
        <v>86.3</v>
      </c>
      <c r="R372">
        <v>86.3</v>
      </c>
      <c r="S372">
        <v>0</v>
      </c>
      <c r="T372">
        <v>0</v>
      </c>
      <c r="U372">
        <v>0</v>
      </c>
      <c r="V372">
        <v>0</v>
      </c>
      <c r="W372">
        <v>0</v>
      </c>
      <c r="X372" s="2">
        <v>46230</v>
      </c>
    </row>
    <row r="373" spans="1:25" ht="15.75" customHeight="1" x14ac:dyDescent="0.2">
      <c r="A373" t="s">
        <v>41</v>
      </c>
      <c r="B373" t="s">
        <v>624</v>
      </c>
      <c r="C373" t="s">
        <v>43</v>
      </c>
      <c r="D373" t="s">
        <v>43</v>
      </c>
      <c r="E373" t="s">
        <v>44</v>
      </c>
      <c r="F373" t="s">
        <v>44</v>
      </c>
      <c r="H373" s="7" t="s">
        <v>625</v>
      </c>
      <c r="I373" s="11" t="s">
        <v>626</v>
      </c>
      <c r="J373" s="3" t="s">
        <v>40</v>
      </c>
      <c r="K373">
        <v>150.69999999999999</v>
      </c>
      <c r="L373">
        <v>176.5</v>
      </c>
      <c r="M373" s="2">
        <v>44830</v>
      </c>
      <c r="N373" s="6"/>
      <c r="O373">
        <v>139.30000000000001</v>
      </c>
      <c r="P373" s="19">
        <v>92.489000000000004</v>
      </c>
      <c r="Q373" s="19">
        <v>92.489000000000004</v>
      </c>
      <c r="R373">
        <v>11.39</v>
      </c>
      <c r="S373" s="17">
        <v>81.097999999999999</v>
      </c>
      <c r="T373">
        <v>20.405999999999999</v>
      </c>
      <c r="U373">
        <v>20.515999999999998</v>
      </c>
      <c r="V373">
        <v>17.292999999999999</v>
      </c>
      <c r="W373" s="17">
        <v>0</v>
      </c>
      <c r="X373" s="2">
        <v>46230</v>
      </c>
      <c r="Y373" s="6" t="s">
        <v>1100</v>
      </c>
    </row>
    <row r="374" spans="1:25" ht="15.75" customHeight="1" x14ac:dyDescent="0.2">
      <c r="A374" t="s">
        <v>41</v>
      </c>
      <c r="B374" t="s">
        <v>81</v>
      </c>
      <c r="C374" t="s">
        <v>82</v>
      </c>
      <c r="D374" t="s">
        <v>83</v>
      </c>
      <c r="E374" t="s">
        <v>44</v>
      </c>
      <c r="F374" t="s">
        <v>44</v>
      </c>
      <c r="H374" s="7" t="s">
        <v>84</v>
      </c>
      <c r="I374" s="15" t="s">
        <v>85</v>
      </c>
      <c r="J374" s="3" t="s">
        <v>40</v>
      </c>
      <c r="K374">
        <v>50.8</v>
      </c>
      <c r="L374">
        <v>66.400000000000006</v>
      </c>
      <c r="M374" s="2">
        <v>44600</v>
      </c>
      <c r="N374" s="2">
        <v>45793</v>
      </c>
      <c r="O374">
        <v>50.8</v>
      </c>
      <c r="P374" s="17">
        <v>1.5249999999999999</v>
      </c>
      <c r="Q374" s="17">
        <v>1.5249999999999999</v>
      </c>
      <c r="R374">
        <v>0</v>
      </c>
      <c r="S374" s="17">
        <f t="shared" ref="S374:S379" si="17">Q374-R374</f>
        <v>1.5249999999999999</v>
      </c>
      <c r="T374">
        <v>12.616</v>
      </c>
      <c r="U374">
        <v>15.823</v>
      </c>
      <c r="V374">
        <v>20.856000000000002</v>
      </c>
      <c r="W374" s="17">
        <v>0</v>
      </c>
      <c r="X374" s="2">
        <v>46230</v>
      </c>
    </row>
    <row r="375" spans="1:25" ht="15.75" customHeight="1" x14ac:dyDescent="0.2">
      <c r="A375" t="s">
        <v>41</v>
      </c>
      <c r="B375" t="s">
        <v>81</v>
      </c>
      <c r="C375" s="11" t="s">
        <v>92</v>
      </c>
      <c r="D375" s="11" t="s">
        <v>93</v>
      </c>
      <c r="E375" s="11" t="s">
        <v>44</v>
      </c>
      <c r="F375" s="11" t="s">
        <v>44</v>
      </c>
      <c r="G375" s="11"/>
      <c r="H375" s="23" t="s">
        <v>94</v>
      </c>
      <c r="I375" s="15" t="s">
        <v>95</v>
      </c>
      <c r="J375" s="12" t="s">
        <v>40</v>
      </c>
      <c r="K375" s="11">
        <v>46.7</v>
      </c>
      <c r="L375" s="11">
        <v>66.7</v>
      </c>
      <c r="M375" s="13">
        <v>44468</v>
      </c>
      <c r="N375" s="13">
        <v>45837</v>
      </c>
      <c r="O375" s="11">
        <v>46.7</v>
      </c>
      <c r="P375" s="18">
        <v>0</v>
      </c>
      <c r="Q375" s="18">
        <v>0</v>
      </c>
      <c r="R375">
        <v>0</v>
      </c>
      <c r="S375" s="17">
        <f t="shared" si="17"/>
        <v>0</v>
      </c>
      <c r="T375">
        <v>15.999000000000001</v>
      </c>
      <c r="U375">
        <v>12.742000000000001</v>
      </c>
      <c r="V375">
        <v>11.503</v>
      </c>
      <c r="W375" s="17">
        <v>6.4610000000000003</v>
      </c>
      <c r="X375" s="2">
        <v>46230</v>
      </c>
    </row>
    <row r="376" spans="1:25" ht="15.75" customHeight="1" x14ac:dyDescent="0.2">
      <c r="A376" t="s">
        <v>41</v>
      </c>
      <c r="B376" t="s">
        <v>65</v>
      </c>
      <c r="C376" t="s">
        <v>66</v>
      </c>
      <c r="D376" t="s">
        <v>66</v>
      </c>
      <c r="E376" t="s">
        <v>44</v>
      </c>
      <c r="F376" t="s">
        <v>44</v>
      </c>
      <c r="H376" s="7" t="s">
        <v>67</v>
      </c>
      <c r="I376" s="11" t="s">
        <v>68</v>
      </c>
      <c r="J376" s="3" t="s">
        <v>40</v>
      </c>
      <c r="K376">
        <v>31.2</v>
      </c>
      <c r="L376">
        <v>34.4</v>
      </c>
      <c r="M376" s="2">
        <v>43363</v>
      </c>
      <c r="N376" s="2">
        <v>44626</v>
      </c>
      <c r="O376" s="17">
        <v>5.7169999999999996</v>
      </c>
      <c r="P376" s="17">
        <v>0</v>
      </c>
      <c r="Q376" s="17">
        <v>0</v>
      </c>
      <c r="R376">
        <v>0</v>
      </c>
      <c r="S376" s="17">
        <f t="shared" si="17"/>
        <v>0</v>
      </c>
      <c r="T376">
        <v>0</v>
      </c>
      <c r="U376">
        <v>0</v>
      </c>
      <c r="V376">
        <v>0</v>
      </c>
      <c r="W376" s="17">
        <f>O376-(R376+S376+T376+U376+V376)</f>
        <v>5.7169999999999996</v>
      </c>
      <c r="X376" s="2">
        <v>46230</v>
      </c>
    </row>
    <row r="377" spans="1:25" ht="15.75" customHeight="1" x14ac:dyDescent="0.2">
      <c r="A377" t="s">
        <v>41</v>
      </c>
      <c r="B377" t="s">
        <v>65</v>
      </c>
      <c r="C377" t="s">
        <v>66</v>
      </c>
      <c r="D377" t="s">
        <v>66</v>
      </c>
      <c r="E377" t="s">
        <v>44</v>
      </c>
      <c r="F377" t="s">
        <v>44</v>
      </c>
      <c r="H377" s="7" t="s">
        <v>845</v>
      </c>
      <c r="I377" s="11" t="s">
        <v>846</v>
      </c>
      <c r="J377" s="3" t="s">
        <v>40</v>
      </c>
      <c r="K377">
        <v>70.3</v>
      </c>
      <c r="L377">
        <v>70.3</v>
      </c>
      <c r="M377" s="2">
        <v>44533</v>
      </c>
      <c r="N377" s="2"/>
      <c r="O377" s="17">
        <v>70.3</v>
      </c>
      <c r="P377" s="17">
        <v>18.38</v>
      </c>
      <c r="Q377" s="17">
        <v>18.38</v>
      </c>
      <c r="R377">
        <v>6.1630000000000003</v>
      </c>
      <c r="S377" s="17">
        <f t="shared" si="17"/>
        <v>12.216999999999999</v>
      </c>
      <c r="T377">
        <v>15.519</v>
      </c>
      <c r="U377">
        <v>18.312999999999999</v>
      </c>
      <c r="V377">
        <v>12.209</v>
      </c>
      <c r="W377" s="17">
        <v>5.8369999999999997</v>
      </c>
      <c r="X377" s="2">
        <v>46230</v>
      </c>
    </row>
    <row r="378" spans="1:25" ht="17" x14ac:dyDescent="0.2">
      <c r="A378" t="s">
        <v>41</v>
      </c>
      <c r="B378" t="s">
        <v>65</v>
      </c>
      <c r="C378" t="s">
        <v>356</v>
      </c>
      <c r="D378" t="s">
        <v>357</v>
      </c>
      <c r="E378" t="s">
        <v>44</v>
      </c>
      <c r="F378" t="s">
        <v>44</v>
      </c>
      <c r="H378" s="7" t="s">
        <v>358</v>
      </c>
      <c r="I378" s="15" t="s">
        <v>359</v>
      </c>
      <c r="J378" s="3" t="s">
        <v>40</v>
      </c>
      <c r="K378">
        <v>0.28999999999999998</v>
      </c>
      <c r="L378">
        <v>0.28999999999999998</v>
      </c>
      <c r="M378" s="2">
        <v>44742</v>
      </c>
      <c r="N378" s="2">
        <v>45136</v>
      </c>
      <c r="O378">
        <v>0.28999999999999998</v>
      </c>
      <c r="P378" s="17">
        <v>0</v>
      </c>
      <c r="Q378" s="17">
        <v>0</v>
      </c>
      <c r="R378">
        <v>0</v>
      </c>
      <c r="S378" s="17">
        <f t="shared" si="17"/>
        <v>0</v>
      </c>
      <c r="T378">
        <v>0</v>
      </c>
      <c r="U378">
        <v>0</v>
      </c>
      <c r="V378">
        <v>0.28999999999999998</v>
      </c>
      <c r="W378" s="17">
        <f>O378-(R378+S378+T378+U378+V378)</f>
        <v>0</v>
      </c>
      <c r="X378" s="2">
        <v>46230</v>
      </c>
    </row>
    <row r="379" spans="1:25" ht="15.75" customHeight="1" x14ac:dyDescent="0.2">
      <c r="A379" t="s">
        <v>41</v>
      </c>
      <c r="B379" t="s">
        <v>81</v>
      </c>
      <c r="C379" t="s">
        <v>166</v>
      </c>
      <c r="D379" t="s">
        <v>448</v>
      </c>
      <c r="E379" t="s">
        <v>44</v>
      </c>
      <c r="F379" t="s">
        <v>44</v>
      </c>
      <c r="H379" s="7" t="s">
        <v>613</v>
      </c>
      <c r="I379" s="15" t="s">
        <v>614</v>
      </c>
      <c r="J379" s="3" t="s">
        <v>40</v>
      </c>
      <c r="K379">
        <v>9.5000000000000001E-2</v>
      </c>
      <c r="L379">
        <v>9.5000000000000001E-2</v>
      </c>
      <c r="M379" s="2">
        <v>44343</v>
      </c>
      <c r="N379" s="2">
        <v>44697</v>
      </c>
      <c r="O379">
        <v>9.5000000000000001E-2</v>
      </c>
      <c r="P379" s="17">
        <v>0</v>
      </c>
      <c r="Q379" s="17">
        <v>0</v>
      </c>
      <c r="R379">
        <v>0</v>
      </c>
      <c r="S379" s="17">
        <f t="shared" si="17"/>
        <v>0</v>
      </c>
      <c r="T379">
        <v>0</v>
      </c>
      <c r="U379">
        <v>0</v>
      </c>
      <c r="V379">
        <v>0</v>
      </c>
      <c r="W379" s="17">
        <f>O379-(R379+S379+T379+U379+V379)</f>
        <v>9.5000000000000001E-2</v>
      </c>
      <c r="X379" s="2">
        <v>46230</v>
      </c>
    </row>
    <row r="380" spans="1:25" ht="15.75" customHeight="1" x14ac:dyDescent="0.2">
      <c r="A380" t="s">
        <v>41</v>
      </c>
      <c r="B380" t="s">
        <v>136</v>
      </c>
      <c r="C380" t="s">
        <v>137</v>
      </c>
      <c r="D380" t="s">
        <v>138</v>
      </c>
      <c r="E380" t="s">
        <v>44</v>
      </c>
      <c r="F380" t="s">
        <v>44</v>
      </c>
      <c r="H380" s="7" t="s">
        <v>139</v>
      </c>
      <c r="I380" s="11" t="s">
        <v>140</v>
      </c>
      <c r="J380" s="3" t="s">
        <v>31</v>
      </c>
      <c r="K380">
        <v>12.2</v>
      </c>
      <c r="L380">
        <v>12.2</v>
      </c>
      <c r="M380" s="2">
        <v>46134</v>
      </c>
      <c r="O380" s="17">
        <v>12.2</v>
      </c>
      <c r="P380" s="17">
        <v>12.2</v>
      </c>
      <c r="Q380" s="17">
        <v>12.2</v>
      </c>
      <c r="R380">
        <v>12.2</v>
      </c>
      <c r="S380">
        <v>0</v>
      </c>
      <c r="T380">
        <v>0</v>
      </c>
      <c r="U380">
        <v>0</v>
      </c>
      <c r="V380">
        <v>0</v>
      </c>
      <c r="W380">
        <v>0</v>
      </c>
      <c r="X380" s="2">
        <v>46230</v>
      </c>
      <c r="Y380" s="7" t="s">
        <v>1101</v>
      </c>
    </row>
    <row r="381" spans="1:25" ht="15.75" customHeight="1" x14ac:dyDescent="0.2">
      <c r="A381" t="s">
        <v>41</v>
      </c>
      <c r="B381" t="s">
        <v>192</v>
      </c>
      <c r="C381" t="s">
        <v>193</v>
      </c>
      <c r="D381" t="s">
        <v>194</v>
      </c>
      <c r="E381" t="s">
        <v>44</v>
      </c>
      <c r="F381" t="s">
        <v>44</v>
      </c>
      <c r="H381" s="7" t="s">
        <v>195</v>
      </c>
      <c r="I381" s="11" t="s">
        <v>196</v>
      </c>
      <c r="J381" s="3" t="s">
        <v>40</v>
      </c>
      <c r="K381">
        <v>4.5</v>
      </c>
      <c r="L381">
        <v>4.5</v>
      </c>
      <c r="M381" s="2">
        <v>44281</v>
      </c>
      <c r="N381" s="2">
        <v>45929</v>
      </c>
      <c r="O381" s="17">
        <v>4.5</v>
      </c>
      <c r="P381" s="17">
        <v>0.46200000000000002</v>
      </c>
      <c r="Q381" s="17">
        <v>0.46200000000000002</v>
      </c>
      <c r="R381">
        <v>0</v>
      </c>
      <c r="S381">
        <f>0.008002+0.457866-0.0043</f>
        <v>0.46156799999999998</v>
      </c>
      <c r="T381">
        <f>-0.0043+0.915732</f>
        <v>0.91143200000000002</v>
      </c>
      <c r="U381">
        <f>0.915732-0.0086</f>
        <v>0.90713199999999994</v>
      </c>
      <c r="V381">
        <v>0.89800000000000002</v>
      </c>
      <c r="W381">
        <f>0.880364+0.433762</f>
        <v>1.3141259999999999</v>
      </c>
      <c r="X381" s="2">
        <v>46230</v>
      </c>
      <c r="Y381" s="7" t="s">
        <v>1102</v>
      </c>
    </row>
    <row r="382" spans="1:25" ht="15.75" customHeight="1" x14ac:dyDescent="0.2">
      <c r="A382" t="s">
        <v>41</v>
      </c>
      <c r="B382" t="s">
        <v>192</v>
      </c>
      <c r="C382" t="s">
        <v>193</v>
      </c>
      <c r="D382" t="s">
        <v>194</v>
      </c>
      <c r="E382" t="s">
        <v>44</v>
      </c>
      <c r="F382" t="s">
        <v>44</v>
      </c>
      <c r="H382" s="7" t="s">
        <v>517</v>
      </c>
      <c r="I382" s="11" t="s">
        <v>518</v>
      </c>
      <c r="J382" s="3" t="s">
        <v>40</v>
      </c>
      <c r="K382">
        <v>0</v>
      </c>
      <c r="L382">
        <v>4.5</v>
      </c>
      <c r="M382" s="2">
        <v>46113</v>
      </c>
      <c r="O382" s="17">
        <v>0</v>
      </c>
      <c r="P382" s="17">
        <v>0</v>
      </c>
      <c r="Q382" s="17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s="2">
        <v>46230</v>
      </c>
    </row>
    <row r="383" spans="1:25" ht="15.75" customHeight="1" x14ac:dyDescent="0.2">
      <c r="A383" t="s">
        <v>41</v>
      </c>
      <c r="B383" t="s">
        <v>60</v>
      </c>
      <c r="C383" t="s">
        <v>241</v>
      </c>
      <c r="D383" t="s">
        <v>242</v>
      </c>
      <c r="E383" t="s">
        <v>44</v>
      </c>
      <c r="F383" t="s">
        <v>44</v>
      </c>
      <c r="H383" s="7" t="s">
        <v>243</v>
      </c>
      <c r="I383" s="11" t="s">
        <v>244</v>
      </c>
      <c r="J383" s="3" t="s">
        <v>31</v>
      </c>
      <c r="K383">
        <v>2.1</v>
      </c>
      <c r="L383">
        <v>11.3</v>
      </c>
      <c r="M383" s="2">
        <v>45901</v>
      </c>
      <c r="O383" s="17">
        <v>2.1</v>
      </c>
      <c r="P383" s="17">
        <v>2.1</v>
      </c>
      <c r="Q383" s="17">
        <v>2.1</v>
      </c>
      <c r="R383">
        <v>0</v>
      </c>
      <c r="S383">
        <v>2.1</v>
      </c>
      <c r="T383">
        <v>0</v>
      </c>
      <c r="U383">
        <v>0</v>
      </c>
      <c r="V383">
        <v>0</v>
      </c>
      <c r="W383">
        <v>0</v>
      </c>
      <c r="X383" s="2">
        <v>46230</v>
      </c>
      <c r="Y383" s="7" t="s">
        <v>1103</v>
      </c>
    </row>
    <row r="384" spans="1:25" ht="15.75" customHeight="1" x14ac:dyDescent="0.2">
      <c r="A384" t="s">
        <v>41</v>
      </c>
      <c r="B384" t="s">
        <v>60</v>
      </c>
      <c r="C384" t="s">
        <v>161</v>
      </c>
      <c r="D384" t="s">
        <v>162</v>
      </c>
      <c r="E384" t="s">
        <v>44</v>
      </c>
      <c r="F384" t="s">
        <v>44</v>
      </c>
      <c r="H384" s="7" t="s">
        <v>163</v>
      </c>
      <c r="I384" s="11" t="s">
        <v>164</v>
      </c>
      <c r="J384" s="3" t="s">
        <v>40</v>
      </c>
      <c r="K384">
        <v>10.199999999999999</v>
      </c>
      <c r="L384">
        <v>11.1</v>
      </c>
      <c r="M384" s="2">
        <v>44280</v>
      </c>
      <c r="O384">
        <v>10.199999999999999</v>
      </c>
      <c r="P384" s="17">
        <v>3.1379999999999999</v>
      </c>
      <c r="Q384" s="17">
        <v>3.1379999999999999</v>
      </c>
      <c r="R384">
        <v>1.046</v>
      </c>
      <c r="S384" s="17">
        <v>2.0920000000000001</v>
      </c>
      <c r="T384">
        <v>2.032</v>
      </c>
      <c r="U384">
        <v>2.6859999999999999</v>
      </c>
      <c r="V384">
        <v>0.93600000000000005</v>
      </c>
      <c r="W384" s="17">
        <v>1.369</v>
      </c>
      <c r="X384" s="2">
        <v>46230</v>
      </c>
    </row>
    <row r="385" spans="1:29" ht="15.75" customHeight="1" x14ac:dyDescent="0.2">
      <c r="A385" t="s">
        <v>41</v>
      </c>
      <c r="B385" t="s">
        <v>60</v>
      </c>
      <c r="C385" t="s">
        <v>276</v>
      </c>
      <c r="D385" t="s">
        <v>277</v>
      </c>
      <c r="E385" t="s">
        <v>49</v>
      </c>
      <c r="F385" t="s">
        <v>49</v>
      </c>
      <c r="H385" s="7" t="s">
        <v>278</v>
      </c>
      <c r="I385" s="11" t="s">
        <v>279</v>
      </c>
      <c r="J385" s="3" t="s">
        <v>280</v>
      </c>
      <c r="K385">
        <v>1.2</v>
      </c>
      <c r="L385">
        <v>2.6</v>
      </c>
      <c r="M385" s="2">
        <v>46090</v>
      </c>
      <c r="O385">
        <v>1.2</v>
      </c>
      <c r="P385">
        <v>1.2</v>
      </c>
      <c r="Q385">
        <v>1.2</v>
      </c>
      <c r="R385">
        <v>1.23</v>
      </c>
      <c r="S385" s="17">
        <v>0</v>
      </c>
      <c r="T385">
        <v>0</v>
      </c>
      <c r="U385">
        <v>0</v>
      </c>
      <c r="V385">
        <v>0</v>
      </c>
      <c r="W385" s="17">
        <v>0</v>
      </c>
      <c r="X385" s="2">
        <v>46230</v>
      </c>
    </row>
    <row r="386" spans="1:29" ht="15.75" customHeight="1" x14ac:dyDescent="0.2">
      <c r="A386" t="s">
        <v>41</v>
      </c>
      <c r="B386" t="s">
        <v>60</v>
      </c>
      <c r="C386" t="s">
        <v>1104</v>
      </c>
      <c r="D386" t="s">
        <v>88</v>
      </c>
      <c r="E386" t="s">
        <v>78</v>
      </c>
      <c r="F386" t="s">
        <v>78</v>
      </c>
      <c r="H386" s="7" t="s">
        <v>673</v>
      </c>
      <c r="I386" s="11" t="s">
        <v>674</v>
      </c>
      <c r="J386" s="3" t="s">
        <v>40</v>
      </c>
      <c r="K386">
        <v>5.0999999999999996</v>
      </c>
      <c r="L386">
        <v>33</v>
      </c>
      <c r="M386" s="2">
        <v>46104</v>
      </c>
      <c r="O386">
        <v>5.0999999999999996</v>
      </c>
      <c r="P386">
        <v>5.0999999999999996</v>
      </c>
      <c r="Q386">
        <v>5.0999999999999996</v>
      </c>
      <c r="R386">
        <v>5.13</v>
      </c>
      <c r="S386" s="17">
        <v>0</v>
      </c>
      <c r="T386">
        <v>0</v>
      </c>
      <c r="U386">
        <v>0</v>
      </c>
      <c r="V386">
        <v>0</v>
      </c>
      <c r="W386" s="17">
        <v>0</v>
      </c>
      <c r="X386" s="2">
        <v>46230</v>
      </c>
    </row>
    <row r="387" spans="1:29" ht="15.75" customHeight="1" x14ac:dyDescent="0.2">
      <c r="A387" t="s">
        <v>41</v>
      </c>
      <c r="B387" t="s">
        <v>60</v>
      </c>
      <c r="C387" t="s">
        <v>61</v>
      </c>
      <c r="D387" t="s">
        <v>62</v>
      </c>
      <c r="E387" t="s">
        <v>49</v>
      </c>
      <c r="F387" t="s">
        <v>49</v>
      </c>
      <c r="H387" s="7" t="s">
        <v>63</v>
      </c>
      <c r="I387" s="12" t="s">
        <v>64</v>
      </c>
      <c r="J387" s="3" t="s">
        <v>40</v>
      </c>
      <c r="K387">
        <v>76.2</v>
      </c>
      <c r="L387">
        <v>99.3</v>
      </c>
      <c r="M387" s="2">
        <v>44904</v>
      </c>
      <c r="O387" s="17">
        <v>76.2</v>
      </c>
      <c r="P387" s="17">
        <v>21.347000000000001</v>
      </c>
      <c r="Q387" s="17">
        <v>21.347000000000001</v>
      </c>
      <c r="R387">
        <v>-0.57699999999999996</v>
      </c>
      <c r="S387">
        <v>21.923999999999999</v>
      </c>
      <c r="T387">
        <v>19.231000000000002</v>
      </c>
      <c r="U387">
        <v>25.946000000000002</v>
      </c>
      <c r="V387">
        <v>9.6509999999999998</v>
      </c>
      <c r="W387">
        <v>0</v>
      </c>
      <c r="X387" s="2">
        <v>46230</v>
      </c>
      <c r="Y387" t="s">
        <v>1105</v>
      </c>
    </row>
    <row r="388" spans="1:29" ht="15.75" customHeight="1" x14ac:dyDescent="0.2">
      <c r="A388" t="s">
        <v>41</v>
      </c>
      <c r="B388" t="s">
        <v>60</v>
      </c>
      <c r="C388" s="11" t="s">
        <v>43</v>
      </c>
      <c r="D388" s="11" t="s">
        <v>43</v>
      </c>
      <c r="E388" t="s">
        <v>78</v>
      </c>
      <c r="F388" t="s">
        <v>78</v>
      </c>
      <c r="H388" s="7" t="s">
        <v>627</v>
      </c>
      <c r="I388" s="12" t="s">
        <v>628</v>
      </c>
      <c r="J388" s="3" t="s">
        <v>151</v>
      </c>
      <c r="K388">
        <v>18.7</v>
      </c>
      <c r="L388">
        <v>99.9</v>
      </c>
      <c r="M388" s="2">
        <v>46099</v>
      </c>
      <c r="O388" s="17">
        <v>18.7</v>
      </c>
      <c r="P388" s="17">
        <v>18.7</v>
      </c>
      <c r="Q388" s="17">
        <v>18.7</v>
      </c>
      <c r="R388">
        <v>18.7</v>
      </c>
      <c r="S388">
        <v>0</v>
      </c>
      <c r="T388">
        <v>0</v>
      </c>
      <c r="U388">
        <v>0</v>
      </c>
      <c r="V388">
        <v>0</v>
      </c>
      <c r="W388">
        <v>0</v>
      </c>
      <c r="X388" s="2">
        <v>46230</v>
      </c>
    </row>
    <row r="389" spans="1:29" ht="15.75" customHeight="1" x14ac:dyDescent="0.2">
      <c r="A389" t="s">
        <v>41</v>
      </c>
      <c r="B389" t="s">
        <v>60</v>
      </c>
      <c r="C389" t="s">
        <v>103</v>
      </c>
      <c r="D389" t="s">
        <v>103</v>
      </c>
      <c r="E389" t="s">
        <v>28</v>
      </c>
      <c r="F389" t="s">
        <v>28</v>
      </c>
      <c r="H389" s="7" t="s">
        <v>509</v>
      </c>
      <c r="I389" s="11" t="s">
        <v>510</v>
      </c>
      <c r="J389" s="3" t="s">
        <v>91</v>
      </c>
      <c r="K389">
        <v>5.0999999999999996</v>
      </c>
      <c r="L389">
        <v>5.0999999999999996</v>
      </c>
      <c r="M389" s="2">
        <v>43735</v>
      </c>
      <c r="N389" s="2">
        <v>44646</v>
      </c>
      <c r="O389" s="17">
        <v>1.0780000000000001</v>
      </c>
      <c r="P389" s="17">
        <v>0</v>
      </c>
      <c r="Q389" s="17">
        <v>0</v>
      </c>
      <c r="R389">
        <v>0</v>
      </c>
      <c r="S389" s="17">
        <f t="shared" ref="S389:S394" si="18">Q389-R389</f>
        <v>0</v>
      </c>
      <c r="T389">
        <v>0</v>
      </c>
      <c r="U389">
        <v>0</v>
      </c>
      <c r="V389">
        <v>0</v>
      </c>
      <c r="W389" s="17">
        <f>O389-(R389+S389+T389+U389+V389)</f>
        <v>1.0780000000000001</v>
      </c>
      <c r="X389" s="2">
        <v>46230</v>
      </c>
    </row>
    <row r="390" spans="1:29" ht="15.75" customHeight="1" x14ac:dyDescent="0.2">
      <c r="A390" t="s">
        <v>41</v>
      </c>
      <c r="B390" t="s">
        <v>60</v>
      </c>
      <c r="C390" t="s">
        <v>103</v>
      </c>
      <c r="D390" t="s">
        <v>103</v>
      </c>
      <c r="E390" t="s">
        <v>28</v>
      </c>
      <c r="F390" t="s">
        <v>28</v>
      </c>
      <c r="H390" s="7" t="s">
        <v>511</v>
      </c>
      <c r="I390" s="11" t="s">
        <v>512</v>
      </c>
      <c r="J390" s="3" t="s">
        <v>91</v>
      </c>
      <c r="K390">
        <v>1.1000000000000001</v>
      </c>
      <c r="L390">
        <v>1.1000000000000001</v>
      </c>
      <c r="M390" s="2">
        <v>44708</v>
      </c>
      <c r="N390" s="2">
        <v>44830</v>
      </c>
      <c r="O390" s="17">
        <v>1.1000000000000001</v>
      </c>
      <c r="P390" s="17">
        <v>0</v>
      </c>
      <c r="Q390" s="17">
        <v>0</v>
      </c>
      <c r="R390">
        <v>0</v>
      </c>
      <c r="S390" s="17">
        <f t="shared" si="18"/>
        <v>0</v>
      </c>
      <c r="T390">
        <v>0</v>
      </c>
      <c r="U390">
        <v>0</v>
      </c>
      <c r="V390">
        <v>1.0780000000000001</v>
      </c>
      <c r="W390" s="17">
        <v>0</v>
      </c>
      <c r="X390" s="2">
        <v>46230</v>
      </c>
    </row>
    <row r="391" spans="1:29" ht="15.75" customHeight="1" x14ac:dyDescent="0.2">
      <c r="A391" t="s">
        <v>253</v>
      </c>
      <c r="B391" t="s">
        <v>254</v>
      </c>
      <c r="C391" t="s">
        <v>255</v>
      </c>
      <c r="D391" t="s">
        <v>254</v>
      </c>
      <c r="E391" t="s">
        <v>49</v>
      </c>
      <c r="F391" t="s">
        <v>49</v>
      </c>
      <c r="H391" s="7" t="s">
        <v>256</v>
      </c>
      <c r="I391" s="11" t="s">
        <v>257</v>
      </c>
      <c r="J391" s="3" t="s">
        <v>31</v>
      </c>
      <c r="K391">
        <v>0.36</v>
      </c>
      <c r="L391">
        <v>0.45500000000000002</v>
      </c>
      <c r="M391" s="2">
        <v>45096</v>
      </c>
      <c r="O391">
        <v>0.36</v>
      </c>
      <c r="P391" s="17">
        <v>0.184</v>
      </c>
      <c r="Q391" s="17">
        <v>0.184</v>
      </c>
      <c r="R391">
        <v>9.2999999999999999E-2</v>
      </c>
      <c r="S391" s="17">
        <f t="shared" si="18"/>
        <v>9.0999999999999998E-2</v>
      </c>
      <c r="T391">
        <v>8.8999999999999996E-2</v>
      </c>
      <c r="U391">
        <v>8.6999999999999994E-2</v>
      </c>
      <c r="V391">
        <v>0</v>
      </c>
      <c r="W391" s="17">
        <f>O391-(R391+S391+T391+U391+V391)</f>
        <v>0</v>
      </c>
      <c r="X391" s="2">
        <v>46230</v>
      </c>
    </row>
    <row r="392" spans="1:29" ht="15.75" customHeight="1" x14ac:dyDescent="0.2">
      <c r="A392" t="s">
        <v>253</v>
      </c>
      <c r="B392" t="s">
        <v>254</v>
      </c>
      <c r="C392" t="s">
        <v>255</v>
      </c>
      <c r="D392" t="s">
        <v>254</v>
      </c>
      <c r="E392" t="s">
        <v>36</v>
      </c>
      <c r="F392" t="s">
        <v>553</v>
      </c>
      <c r="H392" s="7" t="s">
        <v>649</v>
      </c>
      <c r="I392" s="11" t="s">
        <v>650</v>
      </c>
      <c r="J392" s="3" t="s">
        <v>31</v>
      </c>
      <c r="K392">
        <v>0.11</v>
      </c>
      <c r="L392">
        <v>0.66</v>
      </c>
      <c r="M392" s="2">
        <v>45931</v>
      </c>
      <c r="O392" s="17">
        <v>0.11</v>
      </c>
      <c r="P392" s="17">
        <v>0.11</v>
      </c>
      <c r="Q392" s="17">
        <v>0.11</v>
      </c>
      <c r="R392">
        <v>0</v>
      </c>
      <c r="S392" s="17">
        <f t="shared" si="18"/>
        <v>0.11</v>
      </c>
      <c r="T392">
        <v>0</v>
      </c>
      <c r="U392">
        <v>0</v>
      </c>
      <c r="V392">
        <v>0</v>
      </c>
      <c r="W392" s="17">
        <f>O392-(R392+S392+T392+U392+V392)</f>
        <v>0</v>
      </c>
      <c r="X392" s="2">
        <v>46230</v>
      </c>
      <c r="AA392" s="17"/>
    </row>
    <row r="393" spans="1:29" ht="15.75" customHeight="1" x14ac:dyDescent="0.2">
      <c r="A393" t="s">
        <v>253</v>
      </c>
      <c r="B393" t="s">
        <v>254</v>
      </c>
      <c r="C393" t="s">
        <v>255</v>
      </c>
      <c r="D393" t="s">
        <v>254</v>
      </c>
      <c r="E393" t="s">
        <v>44</v>
      </c>
      <c r="F393" t="s">
        <v>44</v>
      </c>
      <c r="H393" s="7" t="s">
        <v>651</v>
      </c>
      <c r="I393" s="11" t="s">
        <v>652</v>
      </c>
      <c r="J393" s="3" t="s">
        <v>91</v>
      </c>
      <c r="K393">
        <v>0.436</v>
      </c>
      <c r="L393">
        <v>0.436</v>
      </c>
      <c r="M393" s="2">
        <v>44044</v>
      </c>
      <c r="N393" s="2">
        <v>45869</v>
      </c>
      <c r="O393" s="17">
        <v>0.378</v>
      </c>
      <c r="P393" s="17">
        <v>0</v>
      </c>
      <c r="Q393" s="17">
        <v>0</v>
      </c>
      <c r="R393">
        <v>0</v>
      </c>
      <c r="S393" s="17">
        <f t="shared" si="18"/>
        <v>0</v>
      </c>
      <c r="T393">
        <v>9.7000000000000003E-2</v>
      </c>
      <c r="U393">
        <v>9.5000000000000001E-2</v>
      </c>
      <c r="V393">
        <v>9.4E-2</v>
      </c>
      <c r="W393" s="17">
        <f>O393-(R393+S393+T393+U393+V393)</f>
        <v>9.1999999999999971E-2</v>
      </c>
      <c r="X393" s="2">
        <v>46230</v>
      </c>
    </row>
    <row r="394" spans="1:29" ht="15.75" customHeight="1" x14ac:dyDescent="0.2">
      <c r="A394" t="s">
        <v>253</v>
      </c>
      <c r="B394" t="s">
        <v>254</v>
      </c>
      <c r="C394" t="s">
        <v>255</v>
      </c>
      <c r="D394" t="s">
        <v>254</v>
      </c>
      <c r="E394" t="s">
        <v>44</v>
      </c>
      <c r="F394" t="s">
        <v>44</v>
      </c>
      <c r="H394" s="7" t="s">
        <v>653</v>
      </c>
      <c r="I394" s="11" t="s">
        <v>654</v>
      </c>
      <c r="J394" s="3" t="s">
        <v>91</v>
      </c>
      <c r="K394">
        <v>0.219</v>
      </c>
      <c r="L394">
        <v>0.66800000000000004</v>
      </c>
      <c r="M394" s="2">
        <v>45870</v>
      </c>
      <c r="O394" s="17">
        <v>0.219</v>
      </c>
      <c r="P394" s="17">
        <v>0.219</v>
      </c>
      <c r="Q394" s="17">
        <v>0.219</v>
      </c>
      <c r="R394">
        <v>0.121</v>
      </c>
      <c r="S394" s="17">
        <f t="shared" si="18"/>
        <v>9.8000000000000004E-2</v>
      </c>
      <c r="T394">
        <v>0</v>
      </c>
      <c r="U394">
        <v>0</v>
      </c>
      <c r="V394">
        <v>0</v>
      </c>
      <c r="W394" s="17">
        <f>O394-(R394+S394+T394+U394+V394)</f>
        <v>0</v>
      </c>
      <c r="X394" s="2">
        <v>46230</v>
      </c>
    </row>
    <row r="395" spans="1:29" ht="15.75" customHeight="1" x14ac:dyDescent="0.2">
      <c r="A395" t="s">
        <v>253</v>
      </c>
      <c r="B395" t="s">
        <v>254</v>
      </c>
      <c r="C395" t="s">
        <v>255</v>
      </c>
      <c r="D395" t="s">
        <v>254</v>
      </c>
      <c r="E395" t="s">
        <v>78</v>
      </c>
      <c r="F395" t="s">
        <v>78</v>
      </c>
      <c r="H395" s="7" t="s">
        <v>655</v>
      </c>
      <c r="I395" s="11" t="s">
        <v>656</v>
      </c>
      <c r="J395" s="3" t="s">
        <v>91</v>
      </c>
      <c r="K395">
        <v>0.19700000000000001</v>
      </c>
      <c r="L395">
        <v>0.19700000000000001</v>
      </c>
      <c r="M395" s="2">
        <v>45658</v>
      </c>
      <c r="O395" s="17">
        <v>0.19700000000000001</v>
      </c>
      <c r="P395" s="17">
        <v>0.1</v>
      </c>
      <c r="Q395" s="17">
        <v>0.19700000000000001</v>
      </c>
      <c r="R395">
        <v>0</v>
      </c>
      <c r="S395" s="17">
        <v>0.1</v>
      </c>
      <c r="T395">
        <v>9.8000000000000004E-2</v>
      </c>
      <c r="U395">
        <v>0</v>
      </c>
      <c r="V395">
        <v>0</v>
      </c>
      <c r="W395" s="17">
        <v>0</v>
      </c>
      <c r="X395" s="2">
        <v>46230</v>
      </c>
    </row>
    <row r="396" spans="1:29" ht="15.75" customHeight="1" x14ac:dyDescent="0.2">
      <c r="A396" t="s">
        <v>253</v>
      </c>
      <c r="B396" t="s">
        <v>254</v>
      </c>
      <c r="C396" t="s">
        <v>255</v>
      </c>
      <c r="D396" s="3" t="s">
        <v>254</v>
      </c>
      <c r="E396" t="s">
        <v>28</v>
      </c>
      <c r="F396" t="s">
        <v>28</v>
      </c>
      <c r="H396" s="7" t="s">
        <v>657</v>
      </c>
      <c r="I396" s="11" t="s">
        <v>658</v>
      </c>
      <c r="J396" s="3" t="s">
        <v>91</v>
      </c>
      <c r="K396">
        <v>0.59099999999999997</v>
      </c>
      <c r="L396">
        <v>1.9</v>
      </c>
      <c r="M396" s="2">
        <v>45930</v>
      </c>
      <c r="O396" s="17">
        <v>0.59099999999999997</v>
      </c>
      <c r="P396" s="17">
        <v>0.59099999999999997</v>
      </c>
      <c r="Q396" s="17">
        <v>0.59099999999999997</v>
      </c>
      <c r="R396">
        <v>0</v>
      </c>
      <c r="S396" s="17">
        <v>0.59099999999999997</v>
      </c>
      <c r="T396">
        <v>0</v>
      </c>
      <c r="U396">
        <v>0</v>
      </c>
      <c r="V396">
        <v>0</v>
      </c>
      <c r="W396" s="17">
        <v>0</v>
      </c>
      <c r="X396" s="2">
        <v>46230</v>
      </c>
    </row>
    <row r="397" spans="1:29" s="26" customFormat="1" ht="15.75" customHeight="1" x14ac:dyDescent="0.2">
      <c r="A397" t="s">
        <v>253</v>
      </c>
      <c r="B397" t="s">
        <v>254</v>
      </c>
      <c r="C397" t="s">
        <v>255</v>
      </c>
      <c r="D397" t="s">
        <v>254</v>
      </c>
      <c r="E397" t="s">
        <v>78</v>
      </c>
      <c r="F397" t="s">
        <v>78</v>
      </c>
      <c r="G397"/>
      <c r="H397" s="7" t="s">
        <v>659</v>
      </c>
      <c r="I397" s="11" t="s">
        <v>660</v>
      </c>
      <c r="J397" s="10" t="s">
        <v>91</v>
      </c>
      <c r="K397">
        <v>0.11600000000000001</v>
      </c>
      <c r="L397">
        <v>0.25</v>
      </c>
      <c r="M397" s="2">
        <v>46031</v>
      </c>
      <c r="N397"/>
      <c r="O397" s="17">
        <v>0.11600000000000001</v>
      </c>
      <c r="P397" s="17">
        <v>0.11600000000000001</v>
      </c>
      <c r="Q397" s="17">
        <v>0.11600000000000001</v>
      </c>
      <c r="R397">
        <v>0.11600000000000001</v>
      </c>
      <c r="S397" s="17">
        <f>Q397-R397</f>
        <v>0</v>
      </c>
      <c r="T397">
        <v>0</v>
      </c>
      <c r="U397">
        <v>0</v>
      </c>
      <c r="V397">
        <v>0</v>
      </c>
      <c r="W397" s="17">
        <f>O397-(R397+S397+T397+U397+V397)</f>
        <v>0</v>
      </c>
      <c r="X397" s="2">
        <v>46230</v>
      </c>
      <c r="Y397"/>
      <c r="Z397"/>
      <c r="AA397"/>
      <c r="AB397"/>
      <c r="AC397"/>
    </row>
    <row r="398" spans="1:29" ht="15.75" customHeight="1" x14ac:dyDescent="0.2"/>
    <row r="399" spans="1:29" ht="15.75" customHeight="1" x14ac:dyDescent="0.2">
      <c r="C399" s="11"/>
      <c r="D399" s="11"/>
      <c r="E399" s="11"/>
      <c r="F399" s="11"/>
      <c r="H399" s="23"/>
      <c r="I399" s="11"/>
      <c r="J399" s="12"/>
      <c r="K399" s="11"/>
      <c r="L399" s="11"/>
      <c r="M399" s="13"/>
      <c r="N399" s="13"/>
      <c r="O399" s="18"/>
      <c r="P399" s="18"/>
      <c r="Q399" s="18"/>
      <c r="S399" s="17"/>
      <c r="W399" s="17"/>
      <c r="X399" s="2"/>
      <c r="Y399" s="7"/>
    </row>
    <row r="400" spans="1:29" ht="15.75" customHeight="1" x14ac:dyDescent="0.2"/>
    <row r="401" spans="3:3" ht="15.75" customHeight="1" x14ac:dyDescent="0.2">
      <c r="C401" s="17"/>
    </row>
    <row r="402" spans="3:3" ht="15.75" customHeight="1" x14ac:dyDescent="0.2"/>
    <row r="403" spans="3:3" ht="15.75" customHeight="1" x14ac:dyDescent="0.2"/>
    <row r="404" spans="3:3" ht="15.75" customHeight="1" x14ac:dyDescent="0.2"/>
    <row r="405" spans="3:3" ht="15.75" customHeight="1" x14ac:dyDescent="0.2"/>
    <row r="406" spans="3:3" ht="15.75" customHeight="1" x14ac:dyDescent="0.2"/>
    <row r="407" spans="3:3" ht="15.75" customHeight="1" x14ac:dyDescent="0.2"/>
    <row r="408" spans="3:3" ht="15.75" customHeight="1" x14ac:dyDescent="0.2"/>
    <row r="409" spans="3:3" ht="15.75" customHeight="1" x14ac:dyDescent="0.2"/>
    <row r="410" spans="3:3" ht="15.75" customHeight="1" x14ac:dyDescent="0.2"/>
    <row r="411" spans="3:3" ht="15.75" customHeight="1" x14ac:dyDescent="0.2"/>
    <row r="412" spans="3:3" ht="15.75" customHeight="1" x14ac:dyDescent="0.2"/>
    <row r="413" spans="3:3" ht="15.75" customHeight="1" x14ac:dyDescent="0.2"/>
    <row r="414" spans="3:3" ht="15.75" customHeight="1" x14ac:dyDescent="0.2"/>
    <row r="415" spans="3:3" ht="15.75" customHeight="1" x14ac:dyDescent="0.2"/>
    <row r="416" spans="3:3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</sheetData>
  <sortState xmlns:xlrd2="http://schemas.microsoft.com/office/spreadsheetml/2017/richdata2" ref="A102:AA987">
    <sortCondition ref="A196:A987"/>
    <sortCondition ref="B196:B987"/>
    <sortCondition ref="D196:D987"/>
  </sortState>
  <conditionalFormatting sqref="H333:H1048576 H1:H113 H115:H331">
    <cfRule type="duplicateValues" dxfId="0" priority="28"/>
  </conditionalFormatting>
  <dataValidations count="2">
    <dataValidation type="list" allowBlank="1" showInputMessage="1" showErrorMessage="1" sqref="B268:B277 B193:B195 B116:B117 B76:B114 B283:B399" xr:uid="{6626AC79-C66B-4898-8EB4-0266FBF945E6}">
      <formula1>"Internet monitor, Video, Gunshot, LPR, Skip tracing, Location tracking, Digital forensics, Remote hacking, Biometrics, Data analysis, Video analysis, Border surveillance, Maritime surveillance, Drones, Aerial surveillance, Commercial data, LE data sharing"</formula1>
    </dataValidation>
    <dataValidation allowBlank="1" showInputMessage="1" showErrorMessage="1" sqref="XFD116:XFD117 XFD104:XFD105 XFD371:XFD372 XFD388 XFD185 XFD287 XFD309:XFD310 A1:B1048576" xr:uid="{9F4B9408-DBCC-4009-8036-6CAE5185EA2D}"/>
  </dataValidations>
  <hyperlinks>
    <hyperlink ref="H331" r:id="rId1" xr:uid="{59523B02-B8DC-447C-BB59-3EC1AA21BF5C}"/>
    <hyperlink ref="H183" r:id="rId2" xr:uid="{7B7DDCB7-2272-4CB5-8FB8-CA3ACFA6D956}"/>
    <hyperlink ref="H184" r:id="rId3" xr:uid="{557F0881-88DE-4A2E-BD27-438F9D64C93F}"/>
    <hyperlink ref="H343" r:id="rId4" xr:uid="{047AC410-0576-4811-9115-61E7AEAB72DC}"/>
    <hyperlink ref="H123" r:id="rId5" xr:uid="{3E222E3A-FE86-4366-8980-AE69C9624EAA}"/>
    <hyperlink ref="H280" r:id="rId6" xr:uid="{A6819C21-B0BC-486F-9D1F-E819C96E5676}"/>
    <hyperlink ref="H200" r:id="rId7" xr:uid="{41F8386A-FE24-4605-A8F7-09DE8527621D}"/>
    <hyperlink ref="H198" r:id="rId8" xr:uid="{757A0322-B8F1-4422-AC49-19CA948012B1}"/>
    <hyperlink ref="H212" r:id="rId9" display="https://www.usaspending.gov/award/CONT_AWD_70US0924P70092655_7009_-NONE-_-NONE-" xr:uid="{D6631B11-0A5C-4EF6-B457-26571CD5C19F}"/>
    <hyperlink ref="H373" r:id="rId10" xr:uid="{9EC27872-F800-4541-AAF6-A138FF9847AE}"/>
    <hyperlink ref="H370" r:id="rId11" xr:uid="{01D75732-09BA-46DE-B4A6-5EF953F97518}"/>
    <hyperlink ref="H368" r:id="rId12" xr:uid="{602940C4-3B59-4827-B5B9-26A8F1C2DF85}"/>
    <hyperlink ref="H369" r:id="rId13" xr:uid="{7777C2F1-48AF-4541-B566-06E6C61D5141}"/>
    <hyperlink ref="H355" r:id="rId14" xr:uid="{0B3B8223-5EE2-404D-8546-F00E3C83D7F8}"/>
    <hyperlink ref="H361" r:id="rId15" xr:uid="{FAAEFE42-9B44-41FF-A308-033644B4C87D}"/>
    <hyperlink ref="H356" r:id="rId16" xr:uid="{E34AEEEB-F021-4300-A451-CE4F4274324A}"/>
    <hyperlink ref="H362" r:id="rId17" xr:uid="{BA04EB0F-5875-40A0-91C9-C26AFAC3BB29}"/>
    <hyperlink ref="H366" r:id="rId18" xr:uid="{F0362A66-55DE-439E-919B-FA5BA5E70296}"/>
    <hyperlink ref="H364" r:id="rId19" xr:uid="{A0987240-2461-48C8-9D1B-FA852096B978}"/>
    <hyperlink ref="H359" r:id="rId20" xr:uid="{EDAFC396-AD40-4745-9CDD-C8AB0D6C8D35}"/>
    <hyperlink ref="H353" r:id="rId21" xr:uid="{BBCAC781-B399-44B7-8AEE-1773DDB6768B}"/>
    <hyperlink ref="H350" r:id="rId22" xr:uid="{2E5D110E-DC8D-4605-A4C8-FB9B1A1CB6AC}"/>
    <hyperlink ref="H365" r:id="rId23" xr:uid="{615BFD53-C29F-49DC-8F34-2CBC63894542}"/>
    <hyperlink ref="H360" r:id="rId24" xr:uid="{67B07076-CD6C-4AC3-A288-7F9320E39617}"/>
    <hyperlink ref="H367" r:id="rId25" xr:uid="{C178A3CD-EBDA-4BB3-88A6-4F83CB3C68F6}"/>
    <hyperlink ref="H354" r:id="rId26" xr:uid="{1DA94903-CC9A-4C9B-B26D-A62AA186CF13}"/>
    <hyperlink ref="H351" r:id="rId27" xr:uid="{2538A7C4-9ADC-4349-97DF-A3D86ED9F4E5}"/>
    <hyperlink ref="H187" r:id="rId28" xr:uid="{2A1011EC-5B48-416E-B95C-B72D8C6D47B8}"/>
    <hyperlink ref="H124" r:id="rId29" xr:uid="{AE64B604-3248-476A-BDE9-9DFE899CEDE8}"/>
    <hyperlink ref="H170" r:id="rId30" xr:uid="{10FC2241-0C90-4776-87BD-E478FF3C0FE6}"/>
    <hyperlink ref="H226" r:id="rId31" xr:uid="{BA89175B-4F92-4AEA-BA08-C8EC9F4E284E}"/>
    <hyperlink ref="H119" r:id="rId32" xr:uid="{D2290E04-6973-4B09-87F6-F665CC0D111C}"/>
    <hyperlink ref="H120" r:id="rId33" xr:uid="{4D5C28A6-4523-4FC1-B08B-D160F34717C1}"/>
    <hyperlink ref="H122" r:id="rId34" xr:uid="{D656D0FA-B0B3-4E62-AF2F-9D38E0673A0E}"/>
    <hyperlink ref="H121" r:id="rId35" xr:uid="{667E12F4-9A4D-432D-A2EC-DD1A577E7666}"/>
    <hyperlink ref="H175" r:id="rId36" xr:uid="{6E3388E9-A9AC-4F26-9E69-4AA4821450E7}"/>
    <hyperlink ref="H127" r:id="rId37" xr:uid="{B5613100-E810-423E-9E2F-0FD2D81AA593}"/>
    <hyperlink ref="H257" r:id="rId38" xr:uid="{C75850F7-2779-4A5D-A843-92BE753513D9}"/>
    <hyperlink ref="H279" r:id="rId39" xr:uid="{D4B4F130-8AD5-464D-A22E-634DD9D722A3}"/>
    <hyperlink ref="H255" r:id="rId40" display="https://www.usaspending.gov/award/CONT_AWD_70CMSD24FR0000084_7012_HSHQDC12D00013_7001" xr:uid="{63D94DF0-5AF5-498F-9A05-30CE9B8672B8}"/>
    <hyperlink ref="H278" r:id="rId41" xr:uid="{8C940415-B3F3-4CB6-9D72-C886838746DD}"/>
    <hyperlink ref="H259" r:id="rId42" xr:uid="{5520E8E3-C6EB-4DC9-B004-7C92FAD863FE}"/>
    <hyperlink ref="H256" r:id="rId43" xr:uid="{16001930-92D7-4361-A75C-D53040C7CDF9}"/>
    <hyperlink ref="H342" r:id="rId44" xr:uid="{99D7FCE9-7DB3-48B3-A6AC-17407B281AB8}"/>
    <hyperlink ref="H345" r:id="rId45" xr:uid="{33C0AA57-353C-4CF2-9B8E-ACA693F8F35D}"/>
    <hyperlink ref="H389" r:id="rId46" xr:uid="{25728A1E-DB90-448B-929C-D63BCAC8E61B}"/>
    <hyperlink ref="H322" r:id="rId47" xr:uid="{7B8AC3C6-1BA8-4485-B96C-DC27C51386B4}"/>
    <hyperlink ref="H320" r:id="rId48" xr:uid="{9E9B0269-80E9-4BCB-A03E-3E65B03472A6}"/>
    <hyperlink ref="H318" r:id="rId49" xr:uid="{D7BB9FB3-141A-45D3-9AAA-CDFE1C70695A}"/>
    <hyperlink ref="H317" r:id="rId50" xr:uid="{1918731C-3E44-426B-8DD0-B4E0BECF6ED2}"/>
    <hyperlink ref="H390" r:id="rId51" xr:uid="{AAD5FEBC-3C1C-4C66-BA41-EFBB36B05A01}"/>
    <hyperlink ref="H221" r:id="rId52" xr:uid="{41FD0C56-C885-4387-A765-040EFB157EBE}"/>
    <hyperlink ref="H384" r:id="rId53" xr:uid="{A04945AA-D709-417A-9A6A-C7C81D8D692B}"/>
    <hyperlink ref="H168" r:id="rId54" xr:uid="{B7810336-368B-4C56-A02D-765FB6991896}"/>
    <hyperlink ref="H298" r:id="rId55" xr:uid="{3C793376-4EAD-4193-9E30-D0776072E683}"/>
    <hyperlink ref="H299" r:id="rId56" xr:uid="{DF1D07A1-AB6B-48C3-8C6F-A848F1B925AD}"/>
    <hyperlink ref="H162" r:id="rId57" xr:uid="{3832D777-FC83-4C6A-BEDB-CB4F87FD758B}"/>
    <hyperlink ref="H164" r:id="rId58" xr:uid="{3AD96FFF-E0CC-486A-82F3-F655A9A074DC}"/>
    <hyperlink ref="H169" r:id="rId59" xr:uid="{031D0E6D-1F1B-45D0-860A-7B44A55B1F0D}"/>
    <hyperlink ref="H140" r:id="rId60" xr:uid="{BBDB29AE-577C-4AD2-A7B5-A934BF71A178}"/>
    <hyperlink ref="H358" r:id="rId61" xr:uid="{72BE5E29-D805-4B27-8189-86491FB045B5}"/>
    <hyperlink ref="H202" r:id="rId62" xr:uid="{7FB7E2D9-A3F8-4872-BE3B-86217C78944E}"/>
    <hyperlink ref="H314" r:id="rId63" xr:uid="{6B21DE18-534C-4797-AE99-0BA348B71859}"/>
    <hyperlink ref="H233" r:id="rId64" xr:uid="{6B7989E5-9B69-4409-B3C2-801401A88C40}"/>
    <hyperlink ref="H311" r:id="rId65" xr:uid="{97952067-161C-4836-9F16-28E34E37B3DE}"/>
    <hyperlink ref="H312" r:id="rId66" xr:uid="{55149822-CC28-4D1B-8DA5-94D058466151}"/>
    <hyperlink ref="H321" r:id="rId67" display="https://www.usaspending.gov/award/CONT_AWD_70CMSD24FR0000182_7012_HSHQDC13D00026_7001" xr:uid="{DC595DE5-1EFD-4137-993E-3D6CA158CE13}"/>
    <hyperlink ref="H315" r:id="rId68" xr:uid="{64FC6302-B6EE-4A02-AE52-FCD9BD7CBC69}"/>
    <hyperlink ref="H295" r:id="rId69" xr:uid="{868974E4-7805-4259-AF5E-E6CCDAB40F0F}"/>
    <hyperlink ref="H294" r:id="rId70" xr:uid="{4D40BD7C-3CDA-4CE0-AD91-FDEC83238DD6}"/>
    <hyperlink ref="H292" r:id="rId71" xr:uid="{2F754822-594C-4225-8213-F656EA18EE78}"/>
    <hyperlink ref="H313" r:id="rId72" xr:uid="{B6DF70D7-FD06-41D2-8400-BC64B6F4FCD5}"/>
    <hyperlink ref="H293" r:id="rId73" xr:uid="{019A5DFD-518D-44D7-A620-BD70AA2F5C3A}"/>
    <hyperlink ref="H297" r:id="rId74" display="https://www.usaspending.gov/award/CONT_AWD_70B03C25F00001217_7014_NNG15SC82B_8000" xr:uid="{5BD776A4-1205-4B31-8AF5-1878458682E1}"/>
    <hyperlink ref="H296" r:id="rId75" xr:uid="{587920C8-54A2-4DCF-968A-2C9DAE65688C}"/>
    <hyperlink ref="H319" r:id="rId76" xr:uid="{0CA9C1E8-CD7C-4103-81CE-8FBA40C28D00}"/>
    <hyperlink ref="H352" r:id="rId77" xr:uid="{49CEEFA7-8FDE-4173-B4B1-E6222AB17AEF}"/>
    <hyperlink ref="H188" r:id="rId78" xr:uid="{60C840DE-C798-4DFF-BD0C-3CB1F0C7AE4E}"/>
    <hyperlink ref="H193" r:id="rId79" xr:uid="{689C5723-CE20-4000-9A35-5EFFC0BC125A}"/>
    <hyperlink ref="H2" r:id="rId80" xr:uid="{A9B4AFD1-2DC1-4EF3-8F45-A41537DA7CCB}"/>
    <hyperlink ref="H289" r:id="rId81" xr:uid="{C31B9D57-8295-499B-A7B3-E1570DEE2952}"/>
    <hyperlink ref="H290" r:id="rId82" xr:uid="{96A24B7B-228B-4709-9B9A-E0FB948994C6}"/>
    <hyperlink ref="H291" r:id="rId83" xr:uid="{352C8D73-876C-441C-8287-61BA0A245AD9}"/>
    <hyperlink ref="H377" r:id="rId84" xr:uid="{E1D6B601-6DB8-404F-93EE-1031045F6E72}"/>
    <hyperlink ref="H376" r:id="rId85" xr:uid="{C3BF6637-488A-4BB8-A195-43B0E2AF43F6}"/>
    <hyperlink ref="H178" r:id="rId86" xr:uid="{0A123614-CB35-48DE-9897-06E930382EC5}"/>
    <hyperlink ref="H182" r:id="rId87" xr:uid="{876F0EAB-7AD5-4E81-975A-5E489C2CD251}"/>
    <hyperlink ref="H179" r:id="rId88" xr:uid="{4182F4C7-C683-49FD-B780-C3A512527595}"/>
    <hyperlink ref="H181" r:id="rId89" xr:uid="{C8D9EE37-D9BF-4984-AF78-B35D8652E7B1}"/>
    <hyperlink ref="H231" r:id="rId90" xr:uid="{8C2A5954-B7CB-4AD6-9F1E-FB81989D4B50}"/>
    <hyperlink ref="H229" r:id="rId91" xr:uid="{ED3F4EF5-F06D-4EAA-8E78-DF8676210CC9}"/>
    <hyperlink ref="H228" r:id="rId92" xr:uid="{9456A03F-CA28-44EF-AE53-3A7F35967FAF}"/>
    <hyperlink ref="H227" r:id="rId93" xr:uid="{FF9E8B31-DCFC-442C-A38E-71CA7C89E74E}"/>
    <hyperlink ref="H232" r:id="rId94" xr:uid="{4CD719DF-0BE6-4CA8-B9E4-DE9F11D6D51E}"/>
    <hyperlink ref="H230" r:id="rId95" xr:uid="{988780EB-5C56-4188-8754-7FF81FEAA9E7}"/>
    <hyperlink ref="H234" r:id="rId96" xr:uid="{DCDDD9F0-7627-430C-8895-A162E06C3786}"/>
    <hyperlink ref="H301" r:id="rId97" xr:uid="{EC91C81F-AC6A-48D7-8BDD-3DB4F236272A}"/>
    <hyperlink ref="H282" r:id="rId98" xr:uid="{497E9506-D6E0-43F3-813A-7313C2D249D3}"/>
    <hyperlink ref="H262" r:id="rId99" xr:uid="{37618E7A-364D-4DBE-8631-4C7D5F2AB8EC}"/>
    <hyperlink ref="H260" r:id="rId100" xr:uid="{32EF7AAB-2CA0-4255-A60C-624BDEB7D0DC}"/>
    <hyperlink ref="H263" r:id="rId101" xr:uid="{8474DBFE-9F92-45A9-B501-D9E0227AFDB3}"/>
    <hyperlink ref="H194" r:id="rId102" xr:uid="{0B5BAF98-3477-497A-8D96-7F6E4B5E5689}"/>
    <hyperlink ref="H261" r:id="rId103" xr:uid="{3D8AD8B8-7124-4EC8-92A7-8E1C6AB2FA10}"/>
    <hyperlink ref="H285" r:id="rId104" xr:uid="{2ED9729D-45D4-4E0D-9BB1-FA09FA90D6F2}"/>
    <hyperlink ref="H283" r:id="rId105" xr:uid="{A6E83B00-6918-4AB5-8916-434EA6912578}"/>
    <hyperlink ref="H286" r:id="rId106" xr:uid="{D312CF89-338D-4567-9E9C-5D3B0114D096}"/>
    <hyperlink ref="H284" r:id="rId107" xr:uid="{8ABA8896-17E9-481E-90EA-469E3E9898B9}"/>
    <hyperlink ref="H265" r:id="rId108" xr:uid="{4C35B6C7-8151-4A11-BD0F-53C77AA5BD29}"/>
    <hyperlink ref="H267" r:id="rId109" xr:uid="{B36954F5-7FE7-402F-B385-A76B5FE542CF}"/>
    <hyperlink ref="H268" r:id="rId110" xr:uid="{90460290-8885-4D85-8525-C2CC0D961104}"/>
    <hyperlink ref="H266" r:id="rId111" xr:uid="{C7FB3775-7810-4B72-A324-F7E968C64D2F}"/>
    <hyperlink ref="H272" r:id="rId112" xr:uid="{F0736A4A-3493-4BFB-AF61-45D02C8A84E9}"/>
    <hyperlink ref="H275" r:id="rId113" xr:uid="{DE7196BA-5B0B-458B-BAC8-18AD6BFD8EEE}"/>
    <hyperlink ref="H270" r:id="rId114" xr:uid="{2B35E951-D332-4B43-9B76-F83D5E74DB6B}"/>
    <hyperlink ref="H276" r:id="rId115" xr:uid="{630B0CE8-87F7-4913-BF42-1F4FF1155A3C}"/>
    <hyperlink ref="H271" r:id="rId116" xr:uid="{C8C495C1-C39C-45F6-BBD2-F4C60FB711B0}"/>
    <hyperlink ref="H273" r:id="rId117" xr:uid="{CB648F05-0A5F-4575-A380-550F2A2E3C41}"/>
    <hyperlink ref="H274" r:id="rId118" xr:uid="{BB2AF850-7D91-4A36-BF2F-73D09F9239B0}"/>
    <hyperlink ref="H195" r:id="rId119" xr:uid="{81A97317-0E72-4BFF-941F-FA9ED828B72B}"/>
    <hyperlink ref="H328" r:id="rId120" xr:uid="{EC368F1C-89CC-482F-A941-37D1F29FE154}"/>
    <hyperlink ref="H329" r:id="rId121" xr:uid="{FDCA8902-3388-47AA-B193-EDD362A52FC3}"/>
    <hyperlink ref="H327" r:id="rId122" xr:uid="{9DD189E7-C825-4AA4-BB01-FAE5AB8D75DC}"/>
    <hyperlink ref="H190" r:id="rId123" xr:uid="{79E9B423-64C1-486E-B393-8588208B3FF7}"/>
    <hyperlink ref="H189" r:id="rId124" xr:uid="{BECB5C29-29FF-4083-9B54-3143DF09CEA8}"/>
    <hyperlink ref="H191" r:id="rId125" xr:uid="{DB63EBAD-E9DC-4D86-90AB-8EA0D45C530C}"/>
    <hyperlink ref="H192" r:id="rId126" xr:uid="{8D11954F-743C-4230-9F1A-2588EFA50A86}"/>
    <hyperlink ref="H348" r:id="rId127" xr:uid="{ED11BD14-90C5-43D5-BB92-F5F5AADA6E2C}"/>
    <hyperlink ref="H349" r:id="rId128" xr:uid="{E66E254D-412C-4242-9410-D06FABC41960}"/>
    <hyperlink ref="H347" r:id="rId129" xr:uid="{F6F237FD-68DD-49E8-AE66-870B73B63B81}"/>
    <hyperlink ref="H167" r:id="rId130" xr:uid="{AEB42412-3F01-478F-B42F-0596DC42A09A}"/>
    <hyperlink ref="H325" r:id="rId131" xr:uid="{FC4C3F9F-5C69-4A6D-A264-F3D3FF0D501A}"/>
    <hyperlink ref="H326" r:id="rId132" xr:uid="{75BAF498-7CF9-4761-B40B-7217882337AD}"/>
    <hyperlink ref="H323" r:id="rId133" xr:uid="{C975E7CF-1D2C-4118-A9E3-A45F2C6F24A8}"/>
    <hyperlink ref="H324" r:id="rId134" xr:uid="{BBB716FF-99DF-4EB7-A7B2-F303AEF8123C}"/>
    <hyperlink ref="H330" r:id="rId135" xr:uid="{BB67292E-04C4-4EBC-9C4C-0D7A3AD4E285}"/>
    <hyperlink ref="H131" r:id="rId136" xr:uid="{675B7FBF-CC77-4175-B00B-CC9E982E0F5D}"/>
    <hyperlink ref="H316" r:id="rId137" xr:uid="{153577FD-C89F-48C4-8E32-303B9BF9DE72}"/>
    <hyperlink ref="H300" r:id="rId138" xr:uid="{E4D763A2-94A0-410C-9B09-26089D302FFE}"/>
    <hyperlink ref="H136" r:id="rId139" xr:uid="{81F57E58-A6CB-4861-99B1-49032A71A2EF}"/>
    <hyperlink ref="H135" r:id="rId140" xr:uid="{A2972202-B6ED-4888-8C5D-8508A3FEBBE5}"/>
    <hyperlink ref="H163" r:id="rId141" xr:uid="{A3CEF679-1D43-4E64-971A-F4C9131DD63A}"/>
    <hyperlink ref="H156" r:id="rId142" xr:uid="{8D183C4F-76C8-4571-914E-F30AB4EC2941}"/>
    <hyperlink ref="H166" r:id="rId143" xr:uid="{03F66313-F6FE-4DC2-9009-ABD0DBA35E97}"/>
    <hyperlink ref="H126" r:id="rId144" xr:uid="{79C97DF9-E31F-4D5A-9D66-23ABA72F13B4}"/>
    <hyperlink ref="H161" r:id="rId145" xr:uid="{9675F422-CA0A-4A89-A2D0-306099BE259E}"/>
    <hyperlink ref="H154" r:id="rId146" xr:uid="{71066644-57DC-4337-9A51-D9EDA4B260A6}"/>
    <hyperlink ref="H137" r:id="rId147" xr:uid="{360EFC3A-F976-4D50-BC16-ECE717563046}"/>
    <hyperlink ref="H138" r:id="rId148" xr:uid="{89B25491-A02B-45A6-9197-0BC4B65D92B5}"/>
    <hyperlink ref="H149" r:id="rId149" xr:uid="{C84DE491-A3BE-453F-A392-7F054E785B21}"/>
    <hyperlink ref="H148" r:id="rId150" xr:uid="{32B0C507-5E23-4E65-9C3E-6F62AD0AA46A}"/>
    <hyperlink ref="H145" r:id="rId151" xr:uid="{5E03A2A0-D464-4725-AE20-C7F1D2DD2792}"/>
    <hyperlink ref="H147" r:id="rId152" xr:uid="{ACAEDB2B-4DBC-4306-B076-46A53062C7D2}"/>
    <hyperlink ref="H146" r:id="rId153" xr:uid="{8AFDB8A8-68FC-4256-98CA-8C0CCEF196F3}"/>
    <hyperlink ref="H150" r:id="rId154" xr:uid="{44EFC177-7FD0-4E99-AEA0-0ACB456F7701}"/>
    <hyperlink ref="H160" r:id="rId155" xr:uid="{49108455-8106-401B-B283-A84D502EB90B}"/>
    <hyperlink ref="H125" r:id="rId156" xr:uid="{92A20A9C-6D4E-4784-800F-ACE834FA6414}"/>
    <hyperlink ref="H151" r:id="rId157" xr:uid="{4850D3AD-7045-4DB7-81EE-497B4D2AFAC3}"/>
    <hyperlink ref="H165" r:id="rId158" xr:uid="{57978819-109B-430A-8C89-85ED518FD89E}"/>
    <hyperlink ref="H152" r:id="rId159" xr:uid="{74C4D47F-24B0-4D65-9479-7E89B4A08D51}"/>
    <hyperlink ref="H153" r:id="rId160" xr:uid="{A9C59E78-4277-4AE2-A2F0-18AD1F1DE896}"/>
    <hyperlink ref="H144" r:id="rId161" xr:uid="{CB5105E4-CF17-4879-9373-1E5F60950FA7}"/>
    <hyperlink ref="H143" r:id="rId162" xr:uid="{110D8CCD-2B2A-487D-B5B4-C924F54537DC}"/>
    <hyperlink ref="H142" r:id="rId163" xr:uid="{BD199293-E9CF-4FFA-A545-9FC846048E16}"/>
    <hyperlink ref="H18" r:id="rId164" xr:uid="{E1CA1D70-CE8D-43E6-BCD5-14C7036AE01C}"/>
    <hyperlink ref="H174" r:id="rId165" xr:uid="{5B75DD61-77B6-4E84-8665-43F92C45332C}"/>
    <hyperlink ref="H186" r:id="rId166" xr:uid="{AB44CE75-9589-42F0-8DE0-3272D825819D}"/>
    <hyperlink ref="H357" r:id="rId167" xr:uid="{88CC2875-636C-4D96-9C33-C29C6D1430BC}"/>
    <hyperlink ref="H396" r:id="rId168" xr:uid="{056A7C72-BC28-403F-AE52-D7A29BD63B5D}"/>
    <hyperlink ref="H393" r:id="rId169" xr:uid="{94E39461-EB48-4692-B43B-235E48F23562}"/>
    <hyperlink ref="H391" r:id="rId170" xr:uid="{6A094ADE-C666-479F-9A96-1F80F01D7E2D}"/>
    <hyperlink ref="H395" r:id="rId171" xr:uid="{F42BE7D8-89A0-4E6A-90AD-5B6D39115521}"/>
    <hyperlink ref="H397" r:id="rId172" xr:uid="{6D75FF8E-B310-48F5-9718-CD2070232606}"/>
    <hyperlink ref="H392" r:id="rId173" xr:uid="{51033995-6817-4A36-911C-B5E76468C1D6}"/>
    <hyperlink ref="H394" r:id="rId174" xr:uid="{C0A9622D-7D17-4DDF-A311-6C30DF2AF0BC}"/>
    <hyperlink ref="H177" r:id="rId175" xr:uid="{FFC4AAAD-EEDD-4E3C-A363-53A5260AE39E}"/>
    <hyperlink ref="H336" r:id="rId176" xr:uid="{C081696E-28D9-4637-A762-CF00A7F3A2B3}"/>
    <hyperlink ref="H335" r:id="rId177" xr:uid="{D1CCBC8F-4BD6-441B-9249-E2A8A41160AD}"/>
    <hyperlink ref="H338" r:id="rId178" xr:uid="{13B49EE1-2236-4D6E-A6FE-16888541BC0C}"/>
    <hyperlink ref="H340" r:id="rId179" xr:uid="{1ED9A7E3-A1E4-4B70-8675-4D3077D6FC8F}"/>
    <hyperlink ref="H337" r:id="rId180" xr:uid="{FA041C79-FCFA-4DC8-9834-61BCA575B7A2}"/>
    <hyperlink ref="H339" r:id="rId181" xr:uid="{60BE0516-1E80-480A-9680-98C6CDA90A56}"/>
    <hyperlink ref="H250" r:id="rId182" xr:uid="{C05FF5E8-D08C-4BCB-BB72-9C95136D5BBC}"/>
    <hyperlink ref="H249" r:id="rId183" xr:uid="{6511FB6D-8208-4CB1-8BA4-3866E282A0BD}"/>
    <hyperlink ref="H251" r:id="rId184" xr:uid="{F8EBF211-D0CF-4584-A5B7-C7B4B950F5F0}"/>
    <hyperlink ref="H155" r:id="rId185" xr:uid="{88E5BB66-AB5A-4171-8C1B-5B97F03B1DD1}"/>
    <hyperlink ref="H378" r:id="rId186" xr:uid="{F01C3D57-EC6E-471D-9E25-4DE2687DD8BC}"/>
    <hyperlink ref="H379" r:id="rId187" xr:uid="{5B758EC2-5A7E-4B5C-90B2-9CE3907F4472}"/>
    <hyperlink ref="H374" r:id="rId188" xr:uid="{308A19E3-366D-4C61-8D87-6757CA66D4BB}"/>
    <hyperlink ref="H375" r:id="rId189" xr:uid="{781036E9-1B52-4EC4-A63B-8459AFB0B1EA}"/>
    <hyperlink ref="H139" r:id="rId190" xr:uid="{78BF7141-9158-4A23-A473-B0D2F6EF60E9}"/>
    <hyperlink ref="Z168" r:id="rId191" xr:uid="{5BAF041A-6112-4861-B519-09D77F384BB1}"/>
    <hyperlink ref="H334" r:id="rId192" xr:uid="{BB21641B-1356-408E-956A-EEDB8ED659E3}"/>
    <hyperlink ref="H130" r:id="rId193" xr:uid="{28A3F62D-B60E-467A-BF2A-B2666AEE7F05}"/>
    <hyperlink ref="H129" r:id="rId194" display="https://www.usaspending.gov/award/CONT_AWD_70CMSD26P00000013_7012_-NONE-_-NONE-" xr:uid="{743A4F81-EFF4-4275-A228-179CB0C85902}"/>
    <hyperlink ref="H115" r:id="rId195" display="https://www.usaspending.gov/award/CONT_AWD_70B01C26F00000123_7014_70B01C24A00000028_7014" xr:uid="{04958C20-8CA9-4B7D-A384-68BF8BCBEFC2}"/>
    <hyperlink ref="H258" r:id="rId196" display="https://www.usaspending.gov/award/CONT_IDV_70US0924D70092068_7009" xr:uid="{D5B744C9-78B8-44C7-B8DB-168B48568B96}"/>
    <hyperlink ref="H252" r:id="rId197" display="https://www.usaspending.gov/award/CONT_AWD_70SBUR26F00000049_7003_NNG15SD38B_8000" xr:uid="{9BB9D3AF-F534-4E37-96A3-3D17242A1FA3}"/>
    <hyperlink ref="H222" r:id="rId198" display="https://www.usaspending.gov/award/CONT_AWD_70B03C26P00000037_7014_-NONE-_-NONE-" xr:uid="{369AFF69-A9A7-4900-B84B-70D668B06BDF}"/>
    <hyperlink ref="H346" r:id="rId199" display="https://www.usaspending.gov/award/CONT_AWD_70US0926P70092719_7009_-NONE-_-NONE-" xr:uid="{ECCD598B-84B8-4851-874D-657986A122EB}"/>
    <hyperlink ref="H385" r:id="rId200" display="https://www.usaspending.gov/award/CONT_AWD_70SBUR26F00000071_7003_NNG15SD19B_8000" xr:uid="{2E759451-194E-4AF7-BDDD-7B145A58BBF1}"/>
    <hyperlink ref="H118" r:id="rId201" display="https://www.usaspending.gov/award/CONT_AWD_70CMSW26FR0000017_7012_47QTCA23D00DN_4732" xr:uid="{59FB6E6B-B514-445B-8CE9-B2A55AB8B95B}"/>
    <hyperlink ref="H386" r:id="rId202" display="https://www.usaspending.gov/award/CONT_AWD_70US0926F2GSA2288_7009_GS00F178DA_4732" xr:uid="{2A7F3AE5-2607-49EA-A61C-26DCE308FCD7}"/>
    <hyperlink ref="H269" r:id="rId203" display="https://www.usaspending.gov/award/CONT_AWD_70US0926C70094384_7009_-NONE-_-NONE-" xr:uid="{88E979F2-986F-473F-B557-5B5C1B5A10B0}"/>
    <hyperlink ref="Z184" r:id="rId204" xr:uid="{0DA1C3B5-5A15-4C6C-85FE-7A63AD0DE62E}"/>
    <hyperlink ref="H344" r:id="rId205" display="https://www.usaspending.gov/award/CONT_AWD_70RTAC23FR0000035_7001_GS02F026DA_4732" xr:uid="{070896F3-5015-4CF9-838F-3173BE8AC50A}"/>
    <hyperlink ref="H208" r:id="rId206" display="https://www.usaspending.gov/award/CONT_AWD_70CMSD23P00000045_7012_-NONE-_-NONE-" xr:uid="{9C97C1FE-2E0A-41DA-826B-97651AB367CE}"/>
    <hyperlink ref="H209" r:id="rId207" display="https://www.usaspending.gov/award/CONT_AWD_70B06C23P00000378_7014_-NONE-_-NONE-" xr:uid="{382D588C-8237-4763-8D6D-75FF03269DE2}"/>
    <hyperlink ref="H210" r:id="rId208" display="https://www.usaspending.gov/award/CONT_AWD_70B02C23P00000417_7014_-NONE-_-NONE-" xr:uid="{BA3EAF60-2FF8-462F-9C0D-6762F2E3F912}"/>
    <hyperlink ref="H211" r:id="rId209" display="https://www.usaspending.gov/award/CONT_AWD_70B06C23P00000470_7014_-NONE-_-NONE-" xr:uid="{5E2C59D9-F294-40F4-993B-BD9668A84F26}"/>
    <hyperlink ref="H199" r:id="rId210" display="https://www.usaspending.gov/award/CONT_AWD_70US0924C70093947_7009_-NONE-_-NONE-" xr:uid="{AF6F0102-FEB5-4D0B-A9BB-0485A4445A4D}"/>
    <hyperlink ref="H224" r:id="rId211" display="https://www.usaspending.gov/award/CONT_AWD_70US0924P70092609_7009_-NONE-_-NONE-" xr:uid="{D7F17421-D438-48D3-B1FB-0720C6D01A6F}"/>
    <hyperlink ref="H213" r:id="rId212" display="https://www.usaspending.gov/award/CONT_AWD_70B03C24P00000281_7014_-NONE-_-NONE-" xr:uid="{981E41DD-B7A4-442D-ABDE-E28CAD77FB8F}"/>
    <hyperlink ref="H214" r:id="rId213" display="https://www.usaspending.gov/award/CONT_AWD_70B03C24P00000561_7014_-NONE-_-NONE-" xr:uid="{A4C90C53-2ADC-4AF2-BC98-B6BB35F5E426}"/>
    <hyperlink ref="H215" r:id="rId214" display="https://www.usaspending.gov/award/CONT_AWD_70B02C24P00000433_7014_-NONE-_-NONE-" xr:uid="{5EB1117C-6BF1-4F23-A517-25D1C068D088}"/>
    <hyperlink ref="H217" r:id="rId215" display="https://www.usaspending.gov/award/CONT_AWD_70B02C24P00000541_7014_-NONE-_-NONE-" xr:uid="{0D8D440D-FA98-4C5F-9254-4AADFEBDA4F8}"/>
    <hyperlink ref="H216" r:id="rId216" display="https://www.usaspending.gov/award/CONT_AWD_70B03C24P00000667_7014_-NONE-_-NONE-" xr:uid="{0165C9FA-E031-4156-866D-EEE8CFD85467}"/>
    <hyperlink ref="H218" r:id="rId217" display="https://www.usaspending.gov/award/CONT_AWD_70B03C25P00000210_7014_-NONE-_-NONE-" xr:uid="{D5994695-A82E-4DB8-9767-DBE47E1FF205}"/>
    <hyperlink ref="H219" r:id="rId218" display="https://www.usaspending.gov/award/CONT_AWD_70B03C25P00000378_7014_-NONE-_-NONE-" xr:uid="{B52A2ADE-AD79-4897-A3F2-9C8FA3691D53}"/>
    <hyperlink ref="H220" r:id="rId219" display="https://www.usaspending.gov/award/CONT_AWD_70B02C25P00000442_7014_-NONE-_-NONE-" xr:uid="{1011EEAF-97EE-471F-886D-06E48B9415F7}"/>
    <hyperlink ref="H203" r:id="rId220" display="https://www.usaspending.gov/award/CONT_AWD_70B06C20P00000595_7014_-NONE-_-NONE-" xr:uid="{FF7BA3D4-1D50-4290-B0B6-3DEBF455A9F5}"/>
    <hyperlink ref="H204" r:id="rId221" display="https://www.usaspending.gov/award/CONT_AWD_70US0921P70090106_7009_-NONE-_-NONE-" xr:uid="{17E6F3D6-AFA0-4FD2-8BE1-6451FDB9631B}"/>
    <hyperlink ref="H205" r:id="rId222" display="https://www.usaspending.gov/award/CONT_AWD_70US0921P70090100_7009_-NONE-_-NONE-" xr:uid="{20618A30-E6A1-40CE-95DE-E6A0B47F0FB3}"/>
    <hyperlink ref="H196" r:id="rId223" display="https://www.usaspending.gov/award/CONT_AWD_70US0922C70092253_7009_-NONE-_-NONE-" xr:uid="{A572C105-B023-4A20-A8B5-6D7DCC96799D}"/>
    <hyperlink ref="H197" r:id="rId224" display="https://www.usaspending.gov/award/CONT_AWD_70US0922C70092212_7009_-NONE-_-NONE-" xr:uid="{E9D04895-CE32-4AA5-9D94-10F0F3B685B5}"/>
    <hyperlink ref="H206" r:id="rId225" display="https://www.usaspending.gov/award/CONT_AWD_70CMSD22P00000084_7012_-NONE-_-NONE-" xr:uid="{79EB7B73-E59A-44B8-A931-A130B43189B3}"/>
    <hyperlink ref="H207" r:id="rId226" display="https://www.usaspending.gov/award/CONT_AWD_70US0922P70092150_7009_-NONE-_-NONE-" xr:uid="{8F59F7F3-5E2F-4BCD-AAAD-6034DF189A0A}"/>
    <hyperlink ref="H134" r:id="rId227" xr:uid="{44D1DC03-3D97-4A61-B031-8B70EE777E73}"/>
    <hyperlink ref="H180" r:id="rId228" xr:uid="{4E78343F-FFAC-415E-A927-27DC966F0C5D}"/>
    <hyperlink ref="H236" r:id="rId229" xr:uid="{23725BB2-173E-45E8-AD8E-74F68DFA339E}"/>
    <hyperlink ref="H241" r:id="rId230" xr:uid="{DB265DD8-A52D-4FF0-907E-D07AC9BF3D7B}"/>
    <hyperlink ref="H240" r:id="rId231" xr:uid="{2C733EA6-CCC8-407D-8CEA-D739EFA73451}"/>
    <hyperlink ref="H247" r:id="rId232" xr:uid="{5B2BC2F4-47D5-40EE-80F1-BC3B8D3E653A}"/>
    <hyperlink ref="H245" r:id="rId233" xr:uid="{41505444-3C81-4D42-A64F-EFE613B527C1}"/>
    <hyperlink ref="H243" r:id="rId234" xr:uid="{503F87C6-AC6D-46EE-925B-F150653BD436}"/>
    <hyperlink ref="H235" r:id="rId235" xr:uid="{D51A59E7-FD80-43F8-ADC1-B42CC2C3318D}"/>
    <hyperlink ref="H237" r:id="rId236" xr:uid="{48EF03AC-8BC2-4592-9898-033C246E8A10}"/>
    <hyperlink ref="H242" r:id="rId237" xr:uid="{EB2AF350-1750-42F7-94FC-669BF064CB6B}"/>
    <hyperlink ref="H244" r:id="rId238" xr:uid="{339B4742-BB20-4771-B52E-A521DAE78FEB}"/>
    <hyperlink ref="H248" r:id="rId239" xr:uid="{F399400F-0F03-490D-8CA6-EE5386F73749}"/>
    <hyperlink ref="H246" r:id="rId240" xr:uid="{512DB39B-1C37-4A72-9F4F-CA02749401E8}"/>
    <hyperlink ref="H238" r:id="rId241" xr:uid="{FEF37496-72F5-41BC-92D3-4DD8DDC98791}"/>
    <hyperlink ref="H239" r:id="rId242" xr:uid="{F9E3F51D-1969-4940-8CBA-148F1F68A680}"/>
    <hyperlink ref="H6" r:id="rId243" xr:uid="{4EAB833C-971A-4CBB-A4E9-794ACAED49E9}"/>
    <hyperlink ref="H4" r:id="rId244" xr:uid="{F94E9DA7-B443-4E65-8328-920D1B47861C}"/>
    <hyperlink ref="H5" r:id="rId245" xr:uid="{E9F61AE1-8935-4335-9933-5EBE271A6DB5}"/>
    <hyperlink ref="H363" r:id="rId246" xr:uid="{08F0C91E-DA25-4DB1-8E12-2E17E9300A7E}"/>
    <hyperlink ref="H253" r:id="rId247" xr:uid="{B4324B86-B210-4E08-A0F7-A1623B3451C5}"/>
    <hyperlink ref="H223" r:id="rId248" xr:uid="{874CA9AF-91D8-43D9-9C05-FDA1B4F34213}"/>
    <hyperlink ref="H54" r:id="rId249" xr:uid="{7550E6C7-3ABF-40B4-A5BE-73A4E173BC8B}"/>
    <hyperlink ref="H380" r:id="rId250" display="https://www.usaspending.gov/award/CONT_AWD_70CMSD26C00000003_7012_-NONE-_-NONE-" xr:uid="{847EB749-F77D-4F41-9D9A-CB313C995AED}"/>
    <hyperlink ref="H381" r:id="rId251" display="https://www.usaspending.gov/award/CONT_AWD_70CTD021FR0000052_7012_75N98119D00004_7529" xr:uid="{86D92B32-3418-4667-B4BE-77F0A287D62D}"/>
    <hyperlink ref="H382" r:id="rId252" display="https://www.usaspending.gov/award/CONT_AWD_70CTD026FR0000014_7012_75N98119D00004_7529" xr:uid="{F8D7CBF3-5543-401F-A4B2-B43361CF18C7}"/>
    <hyperlink ref="H133" r:id="rId253" display="https://www.usaspending.gov/award/CONT_AWD_70CTD025FR0000027_7012_NNG15SC78B_8000" xr:uid="{BAF14AE8-D5F9-4C84-BEC7-9912835F6E88}"/>
    <hyperlink ref="H132" r:id="rId254" display="https://www.usaspending.gov/award/CONT_AWD_70CTD023FR0000075_7012_HSHQDC13D00023_7001" xr:uid="{BFA32354-4537-4050-900D-676E74C39D65}"/>
    <hyperlink ref="H128" r:id="rId255" display="https://www.usaspending.gov/award/CONT_AWD_70CTD026C00000006_7012_-NONE-_-NONE-" xr:uid="{EE33D74F-0BBF-46B7-9D88-6E59FC7F24D3}"/>
    <hyperlink ref="Z128" r:id="rId256" xr:uid="{98180401-ADD6-4518-92D9-A7C94B561E39}"/>
    <hyperlink ref="H173" r:id="rId257" display="https://www.usaspending.gov/award/CONT_AWD_70CTD026FR0000025_7012_NNG15SD90B_8000" xr:uid="{110519B5-8A39-4069-B62F-C31B07A68797}"/>
    <hyperlink ref="H172" r:id="rId258" display="https://www.usaspending.gov/award/CONT_AWD_70B03C23F00001053_7014_HSHQDC12D00013_7001" xr:uid="{D9BDA026-B827-4B7E-899D-67E133928F75}"/>
    <hyperlink ref="H171" r:id="rId259" display="https://www.usaspending.gov/award/CONT_AWD_70B03C21F00001121_7014_HSHQDC12D00013_7001" xr:uid="{37292632-F3B3-4209-AEC7-F7F2467C4AFF}"/>
    <hyperlink ref="H225" r:id="rId260" display="https://www.usaspending.gov/award/CONT_AWD_70US0922C70092645_7009_-NONE-_-NONE-" xr:uid="{1A9C6D64-C392-4A72-9B8A-A88F81DD107F}"/>
    <hyperlink ref="H281" r:id="rId261" display="https://www.usaspending.gov/award/CONT_AWD_70CTD019C00000004_7012_-NONE-_-NONE-" xr:uid="{56B8B8AF-D818-472C-81B3-501A1E75AF0E}"/>
    <hyperlink ref="H383" r:id="rId262" display="https://www.usaspending.gov/award/CONT_AWD_70CMSD25C00000005_7012_-NONE-_-NONE-" xr:uid="{044322C1-6BC0-40A1-8610-4FC8AFC464D4}"/>
    <hyperlink ref="H307" r:id="rId263" display="https://www.usaspending.gov/award/CONT_AWD_70B03C25P00000380_7014_-NONE-_-NONE-" xr:uid="{207AAA0E-6F3F-408F-84F9-E7571F993613}"/>
    <hyperlink ref="H304" r:id="rId264" display="https://www.usaspending.gov/award/CONT_AWD_70CMSD21FR0000102_7012_NNG15SC92B_8000" xr:uid="{36C628F4-0BCA-4722-BB46-BD49D998AEE1}"/>
    <hyperlink ref="H303" r:id="rId265" display="https://www.usaspending.gov/award/CONT_AWD_70B03C22F00001226_7014_HSHQDC13D00026_7001" xr:uid="{F324AD5E-F840-451A-8AB4-73CDAE6C9309}"/>
    <hyperlink ref="H306" r:id="rId266" display="https://www.usaspending.gov/award/CONT_AWD_70CMSD25FR0000060_7012_NNG15SC92B_8000" xr:uid="{C84E66ED-8174-47AD-B89B-D2B528D5D6BE}"/>
    <hyperlink ref="H302" r:id="rId267" display="https://www.usaspending.gov/award/CONT_AWD_70B03C21F00001143_7014_HSHQDC13D00002_7001" xr:uid="{976F8686-2C0F-4CE5-89A5-61DA1E03440F}"/>
    <hyperlink ref="H308" r:id="rId268" display="https://www.usaspending.gov/award/CONT_AWD_70SBUR25P00000019_7003_-NONE-_-NONE-" xr:uid="{C62C20D0-8329-43DB-A1FF-87D53F3BD187}"/>
    <hyperlink ref="H305" r:id="rId269" display="https://www.usaspending.gov/award/CONT_AWD_70B03C25F00001115_7014_NNG15SC92B_8000" xr:uid="{1C904ECF-405A-4383-8B28-A0EF9E8DE08D}"/>
    <hyperlink ref="H341" r:id="rId270" display="https://www.usaspending.gov/award/CONT_AWD_70CMSD26FR0000045_7012_NNG15SD26B_8000" xr:uid="{35FC84FB-9D64-4CA1-A5EB-29FC153A2CB9}"/>
    <hyperlink ref="H254" r:id="rId271" display="https://www.usaspending.gov/award/CONT_AWD_70B06C26F00000458_7014_NNG15SD02B_8000" xr:uid="{2B00534D-F36F-4150-A9AB-AFBE76696A68}"/>
    <hyperlink ref="H201" r:id="rId272" xr:uid="{E170A454-A7D7-4192-BAC9-B4A336860C6C}"/>
    <hyperlink ref="H277" r:id="rId273" xr:uid="{8E372EA0-71A9-4375-BDA2-4A3F5C65311D}"/>
    <hyperlink ref="H264" r:id="rId274" xr:uid="{E0A203F3-7596-4349-99DF-1871BF3B0A7E}"/>
    <hyperlink ref="H7" r:id="rId275" xr:uid="{EA1CD100-EF5A-4165-ABDA-DF6CE44ADEC4}"/>
    <hyperlink ref="H141" r:id="rId276" xr:uid="{659068F0-1EA6-4EF4-81DC-D5C1D754C711}"/>
    <hyperlink ref="H157" r:id="rId277" xr:uid="{BA449D2C-69F8-4FAB-BA5C-A3BA2A977179}"/>
    <hyperlink ref="H387" r:id="rId278" display="https://www.usaspending.gov/award/CONT_AWD_70SBUR23F00000008_7003_47QTCA22D00AB_4732" xr:uid="{73AF8C0F-372D-411F-916A-B1F76A67C415}"/>
    <hyperlink ref="H159" r:id="rId279" display="https://www.usaspending.gov/award/CONT_AWD_70SBUR23F00000126_7003_GS35F404DA_4732" xr:uid="{A8C95069-A5FD-4312-9DE0-2DE4869DCB53}"/>
    <hyperlink ref="H158" r:id="rId280" display="https://www.usaspending.gov/award/CONT_AWD_70SBUR20F00000043_7003_GS35F404DA_4732" xr:uid="{6EF1BA8C-321D-4BE6-931D-85CA915D4E55}"/>
    <hyperlink ref="H103" r:id="rId281" display="https://www.usaspending.gov/award/CONT_AWD_70CMSW22P00000036_7012_-NONE-_-NONE-" xr:uid="{65FFA8B9-120B-413E-868E-3D0D165C0CCC}"/>
    <hyperlink ref="H102" r:id="rId282" display="https://www.usaspending.gov/award/CONT_AWD_70CMSW21P00000046_7012_-NONE-_-NONE-" xr:uid="{AC59D48C-5625-4BCE-8012-CB35EB6ACCD0}"/>
    <hyperlink ref="H55" r:id="rId283" xr:uid="{60B6D564-6C50-4981-9AE2-7A0B0086BD80}"/>
    <hyperlink ref="H8" r:id="rId284" xr:uid="{866FB083-914F-46B4-98D5-5F5692469881}"/>
    <hyperlink ref="H56" r:id="rId285" xr:uid="{5543ED14-C978-40E1-8296-0B45B89BE98D}"/>
    <hyperlink ref="H9" r:id="rId286" xr:uid="{B81DDAA7-DA46-4F41-AF25-9323A2A1D485}"/>
    <hyperlink ref="H10" r:id="rId287" xr:uid="{193F6ADE-2469-472D-9F0A-01D1F123B9A0}"/>
    <hyperlink ref="H11" r:id="rId288" xr:uid="{EEF6995A-7962-476A-9249-AA1623F981CF}"/>
    <hyperlink ref="H57" r:id="rId289" xr:uid="{8333B5CE-B233-4CB6-8636-A2A261E6DD0E}"/>
    <hyperlink ref="H58" r:id="rId290" xr:uid="{D88354D5-E3CC-4035-8059-F214B5AAF3AD}"/>
    <hyperlink ref="H12" r:id="rId291" xr:uid="{BDC484CB-EB57-4475-A63D-86EB32E8B650}"/>
    <hyperlink ref="H13" r:id="rId292" xr:uid="{2BA20141-8C12-4895-8324-18EBF5AE60E9}"/>
    <hyperlink ref="H14" r:id="rId293" xr:uid="{6128D5AC-08BE-4F6B-B745-E2D1D29AF968}"/>
    <hyperlink ref="H59" r:id="rId294" xr:uid="{1E66B6C3-6D93-4DCA-BAC2-9B88620D5ED7}"/>
    <hyperlink ref="H60" r:id="rId295" xr:uid="{4B6B0FB6-66A5-4834-9659-A1DA47D1ED73}"/>
    <hyperlink ref="H61" r:id="rId296" xr:uid="{614A5D7B-AF19-4B93-A327-C51E0354E88A}"/>
    <hyperlink ref="H15" r:id="rId297" xr:uid="{311DFFB5-F31D-4BD3-B27C-D0EA78AA4D92}"/>
    <hyperlink ref="H16" r:id="rId298" xr:uid="{5EDC0220-67C0-4DAA-87DC-CF4A318D3BF3}"/>
    <hyperlink ref="H3" r:id="rId299" xr:uid="{C349751D-8EBC-420E-A715-906B77AE135A}"/>
    <hyperlink ref="H17" r:id="rId300" xr:uid="{2D1062CF-0863-4565-9667-91B40B43CD06}"/>
    <hyperlink ref="H67" r:id="rId301" xr:uid="{F0BA7A48-B3D6-410F-8D09-97FD061F15BB}"/>
    <hyperlink ref="H68" r:id="rId302" xr:uid="{2088102A-DAB5-4A4F-A115-17F3485F5BB1}"/>
    <hyperlink ref="H69" r:id="rId303" xr:uid="{BD7183B4-2EA3-4BFC-ADB7-3E7045077743}"/>
    <hyperlink ref="H19" r:id="rId304" xr:uid="{AE935F63-F4F9-47BF-ADBE-3AFA65EC545F}"/>
    <hyperlink ref="H20" r:id="rId305" xr:uid="{59476422-D8DC-4BAD-A916-5CCDCA865E1D}"/>
    <hyperlink ref="H66" r:id="rId306" xr:uid="{85FDE484-26A2-4CED-8729-F65A3007E4F4}"/>
    <hyperlink ref="H21" r:id="rId307" xr:uid="{EB0E429A-810F-44B1-8DEA-25BA7FC80017}"/>
    <hyperlink ref="H65" r:id="rId308" xr:uid="{26C63993-4D74-4711-888E-125116952A1A}"/>
    <hyperlink ref="H22" r:id="rId309" xr:uid="{C5ADEACD-E143-4B50-82FA-973392B4FADC}"/>
    <hyperlink ref="H64" r:id="rId310" xr:uid="{894848DC-1F27-4C94-A521-57D5CE1254C0}"/>
    <hyperlink ref="H23" r:id="rId311" xr:uid="{E95DFEB7-D121-4001-AA18-24BE3F23ED8D}"/>
    <hyperlink ref="H62" r:id="rId312" xr:uid="{E2E09FFA-38F5-4D0A-9684-EDE4EFD32651}"/>
    <hyperlink ref="H63" r:id="rId313" xr:uid="{EB2BC9A2-CAF3-46DB-92C6-B4C0C4F911CA}"/>
    <hyperlink ref="H24" r:id="rId314" xr:uid="{93617C49-02C3-4D28-B03C-AE6AF7D86458}"/>
    <hyperlink ref="H70" r:id="rId315" xr:uid="{3157B538-9D8D-456B-95F2-743550E5EF51}"/>
    <hyperlink ref="H71" r:id="rId316" xr:uid="{5114AB1C-B3E9-433D-ADD3-C5ADFF500E28}"/>
    <hyperlink ref="H72" r:id="rId317" xr:uid="{0E218440-848A-4E25-B3E4-A37420741B55}"/>
    <hyperlink ref="H73" r:id="rId318" xr:uid="{32EFFC9B-DF71-4E4E-A7EE-2B66894D2560}"/>
    <hyperlink ref="H74" r:id="rId319" xr:uid="{9A5E4882-E5CB-42A1-B53E-F9868550ED1B}"/>
    <hyperlink ref="H75" r:id="rId320" xr:uid="{FF452EF1-64D1-4CF4-8F24-1F706F5382CD}"/>
    <hyperlink ref="H25" r:id="rId321" xr:uid="{56FAA37A-B7FE-4302-96E2-947411F61E2D}"/>
    <hyperlink ref="H26" r:id="rId322" xr:uid="{1F239A71-E163-4951-8415-9B187B37E663}"/>
    <hyperlink ref="H27" r:id="rId323" xr:uid="{E301FA18-FAEC-4F40-B7C6-ED80640F3B69}"/>
    <hyperlink ref="H28" r:id="rId324" xr:uid="{FFB0641C-7566-46D9-9D51-D63CF433783A}"/>
    <hyperlink ref="H29" r:id="rId325" xr:uid="{7F67B056-18DA-476B-9999-5F12D29BDE84}"/>
    <hyperlink ref="H30" r:id="rId326" xr:uid="{8E83FB8A-35ED-4594-A12E-025232C139A1}"/>
    <hyperlink ref="H31" r:id="rId327" xr:uid="{1BE5DA43-C9AE-4E34-A739-84448E45FF30}"/>
    <hyperlink ref="H32" r:id="rId328" xr:uid="{8DE77C30-1573-47ED-AB2D-C3327DF420DF}"/>
    <hyperlink ref="H33" r:id="rId329" xr:uid="{C4485EBB-4505-463E-BC8D-A0ECA91DC64B}"/>
    <hyperlink ref="H34" r:id="rId330" xr:uid="{D996E526-0EA2-4719-9552-94F6FA2BCF94}"/>
    <hyperlink ref="H35" r:id="rId331" xr:uid="{CB465A60-AFAA-430F-804C-0FA8F70F430C}"/>
    <hyperlink ref="H36" r:id="rId332" xr:uid="{0CAE77C0-010E-49D2-9F17-C9B646784FF3}"/>
    <hyperlink ref="H37" r:id="rId333" xr:uid="{1D0DDAC4-E471-4685-9FBF-5FEEBE7B1E85}"/>
    <hyperlink ref="H38" r:id="rId334" xr:uid="{1CDD9755-74C3-44DA-ABC1-DDD778923519}"/>
    <hyperlink ref="H39" r:id="rId335" xr:uid="{549F1482-5EFD-4F3E-AC87-C10D52296346}"/>
    <hyperlink ref="H40" r:id="rId336" xr:uid="{B4EF9BDD-C13B-4D97-9B3A-CE63FA83B0C7}"/>
    <hyperlink ref="H41" r:id="rId337" xr:uid="{5316EA5D-F48E-4700-B8CD-2286F4A1F3C9}"/>
    <hyperlink ref="H42" r:id="rId338" xr:uid="{4E7DF871-E4DB-4C2C-B600-D91B66FCFF87}"/>
    <hyperlink ref="H43" r:id="rId339" xr:uid="{16CC5715-B1ED-4028-AAA3-E20486706266}"/>
    <hyperlink ref="H44" r:id="rId340" xr:uid="{4AE6D4B3-EC72-4E55-93A3-61DA78872BDD}"/>
    <hyperlink ref="H45" r:id="rId341" xr:uid="{D22E335D-ED37-4E75-B4E7-73C872814246}"/>
    <hyperlink ref="H46" r:id="rId342" xr:uid="{9412CBEA-C7EE-455D-9459-AADD04D88682}"/>
    <hyperlink ref="H47" r:id="rId343" xr:uid="{4D87FA86-911C-49BF-A0B6-EF217988DF6A}"/>
    <hyperlink ref="H48" r:id="rId344" xr:uid="{EC328878-CEAF-4A98-8202-03D5A2B7195B}"/>
    <hyperlink ref="H49" r:id="rId345" xr:uid="{131ED584-B73F-4020-B2A9-F2B84CA2237D}"/>
    <hyperlink ref="H50" r:id="rId346" xr:uid="{954AC87C-60F7-4E3B-A7CF-9E46F0F3B2B8}"/>
    <hyperlink ref="H51" r:id="rId347" xr:uid="{518D1BB5-99D1-4F73-AFA7-660C13B85F22}"/>
    <hyperlink ref="H52" r:id="rId348" xr:uid="{A81D9656-B06F-48B1-AB50-47659ED98805}"/>
    <hyperlink ref="H53" r:id="rId349" xr:uid="{939C0181-D794-4AB6-B59F-4364FA6C7C4C}"/>
    <hyperlink ref="H76" r:id="rId350" xr:uid="{0888378D-347C-4947-BF2A-3214EFBC4DA9}"/>
    <hyperlink ref="H77" r:id="rId351" xr:uid="{5386C118-04EA-440D-B81D-38F50A57F1D5}"/>
    <hyperlink ref="H78" r:id="rId352" xr:uid="{DFE2134F-75F6-42DD-A733-FB3C78A8AC21}"/>
    <hyperlink ref="H79" r:id="rId353" xr:uid="{5C51BA61-2501-48D4-80F9-2BF489060309}"/>
    <hyperlink ref="H80" r:id="rId354" xr:uid="{A146B19F-C5D8-4261-86FB-70A07133E09C}"/>
    <hyperlink ref="H81" r:id="rId355" xr:uid="{6FA72C0C-4C91-4DCD-97E7-59530523ACF7}"/>
    <hyperlink ref="H82" r:id="rId356" xr:uid="{62FBD501-0A40-4C85-A8FA-344A673D5379}"/>
    <hyperlink ref="H83" r:id="rId357" xr:uid="{9672D145-E75E-4680-A374-D5F2AEDF61B7}"/>
    <hyperlink ref="H84" r:id="rId358" xr:uid="{B32D9078-31DC-4428-9CAE-A8C16947D1D4}"/>
    <hyperlink ref="H85" r:id="rId359" xr:uid="{E53C4C1C-8C77-4D41-9210-D1B0CB9B87BF}"/>
    <hyperlink ref="H86" r:id="rId360" xr:uid="{E1F86B8A-FA8B-465C-9C57-39FD97CE5B67}"/>
    <hyperlink ref="H87" r:id="rId361" xr:uid="{09E1A457-88EB-41C6-A364-02F46C53D22F}"/>
    <hyperlink ref="H88" r:id="rId362" xr:uid="{6113C7E7-7B2F-4970-BBCC-A2921D568AE2}"/>
    <hyperlink ref="H89" r:id="rId363" xr:uid="{2BB66FFB-1732-4093-8705-66167C3F4FC5}"/>
    <hyperlink ref="H90" r:id="rId364" xr:uid="{E0CA7988-E0A6-468A-87B2-DC0301767F84}"/>
    <hyperlink ref="H91" r:id="rId365" xr:uid="{A9C4697D-7052-4494-A1E7-A02FA6F1A369}"/>
    <hyperlink ref="H92" r:id="rId366" xr:uid="{07DF4A41-2964-41C3-984A-C0AFAB33ACA3}"/>
    <hyperlink ref="H93" r:id="rId367" xr:uid="{D388E2D5-4439-4C93-B3B3-6BAC2A2A6BE0}"/>
    <hyperlink ref="H94" r:id="rId368" xr:uid="{A3C4B544-DAB1-42D6-9B18-52B2C8F323CA}"/>
    <hyperlink ref="H95" r:id="rId369" xr:uid="{E00C4924-9B52-4089-B2C8-A94F9CBEAB29}"/>
    <hyperlink ref="H96" r:id="rId370" xr:uid="{EB970BD3-F639-467F-8505-DFA0DCCA11C4}"/>
    <hyperlink ref="H97" r:id="rId371" xr:uid="{DB09251B-33D0-440C-AD4C-E8171939156C}"/>
    <hyperlink ref="H98" r:id="rId372" xr:uid="{8FA8235D-E4E4-442F-AE26-B0FCF000081A}"/>
    <hyperlink ref="H99" r:id="rId373" xr:uid="{00F1E4FC-57BA-42EE-8A29-8210C75A2B2F}"/>
    <hyperlink ref="H100" r:id="rId374" xr:uid="{DE9C37CA-F213-4483-ACE9-C9445ECB6761}"/>
    <hyperlink ref="H101" r:id="rId375" xr:uid="{00CE42F8-753D-4CCA-9069-F569CC298578}"/>
    <hyperlink ref="H104" r:id="rId376" xr:uid="{B0808F2D-F724-4134-9F82-17FA78DF1B62}"/>
    <hyperlink ref="H106" r:id="rId377" xr:uid="{45FEE5D4-68A6-4D2C-B6F6-F7B4F2767E13}"/>
    <hyperlink ref="H105" r:id="rId378" xr:uid="{B0DE3FDE-1D01-41B4-AC6B-0E4DF8F1892A}"/>
    <hyperlink ref="H107" r:id="rId379" xr:uid="{FB2A3C97-B49F-452E-B144-CF7CB57D24A4}"/>
    <hyperlink ref="H116" r:id="rId380" xr:uid="{248ED8BB-6D6F-4D57-B937-A8CAE33E4D69}"/>
    <hyperlink ref="H117" r:id="rId381" xr:uid="{A313A2A7-ED33-4B49-BA0F-68A5EF61E1C2}"/>
    <hyperlink ref="H108" r:id="rId382" xr:uid="{5542A99F-35A7-474E-A094-DBDC221A3C1D}"/>
    <hyperlink ref="H109" r:id="rId383" xr:uid="{2AA19305-60E3-4073-85CE-86036A5BA35E}"/>
    <hyperlink ref="H110" r:id="rId384" xr:uid="{16B2A6AA-7DE3-404E-B270-C1D5BF9EA7BD}"/>
    <hyperlink ref="H111" r:id="rId385" xr:uid="{7F77BF7B-32EB-435E-A0B0-17379D6E3849}"/>
    <hyperlink ref="H112" r:id="rId386" xr:uid="{3BCDCE7C-FBA0-4ABA-8103-5772EB6F8126}"/>
    <hyperlink ref="H113" r:id="rId387" xr:uid="{993941E3-51A4-4BEF-B4AF-28FC69BB4B8D}"/>
    <hyperlink ref="H114" r:id="rId388" xr:uid="{174965F2-666A-457E-BAF1-0E38353FE82E}"/>
    <hyperlink ref="H332" r:id="rId389" xr:uid="{2394C424-F211-48E2-B15E-420549672686}"/>
    <hyperlink ref="H333" r:id="rId390" xr:uid="{37D8E8B4-39FB-4F8A-BC85-07CE1FEBE7E5}"/>
    <hyperlink ref="H176" r:id="rId391" xr:uid="{22EA0B4E-5073-473E-A389-8AD85A10B5E7}"/>
    <hyperlink ref="H371" r:id="rId392" xr:uid="{842C280C-292D-46F0-9DE9-87660E89041F}"/>
    <hyperlink ref="H372" r:id="rId393" xr:uid="{C1A471F5-1D82-4A18-A790-DE798D06A52B}"/>
    <hyperlink ref="H388" r:id="rId394" xr:uid="{CCC47587-2E75-4397-A265-E4E142505FFE}"/>
    <hyperlink ref="H185" r:id="rId395" xr:uid="{1783FF30-2EA5-4CF2-93F8-468AACADC0FA}"/>
    <hyperlink ref="Y176" r:id="rId396" xr:uid="{E871871A-F021-4185-B9DC-C8400C6C51DA}"/>
    <hyperlink ref="Y157" r:id="rId397" xr:uid="{01A33201-835A-4D1F-8CB4-E7CFC9F1B194}"/>
    <hyperlink ref="Y341" r:id="rId398" xr:uid="{0D1E2C08-A833-4655-89CF-F49E784A1C17}"/>
    <hyperlink ref="Y383" r:id="rId399" xr:uid="{333E5572-FF8E-4E47-B853-8042C1685B46}"/>
    <hyperlink ref="Y281" r:id="rId400" xr:uid="{5222F4B1-2176-4EBB-B0A9-EE6B2128542F}"/>
    <hyperlink ref="Y173" r:id="rId401" xr:uid="{68AF0ECA-18F8-4A99-8B2B-4698FD36B5AB}"/>
    <hyperlink ref="Y128" r:id="rId402" xr:uid="{C77D986E-6D9F-4642-B72C-8A5DF6667906}"/>
    <hyperlink ref="Y133" r:id="rId403" xr:uid="{28BB0337-9793-40BD-87E7-073DDCE8554A}"/>
    <hyperlink ref="Y381" r:id="rId404" xr:uid="{3FA01F10-CC69-4CDC-8B8B-D3EBD4806D0C}"/>
    <hyperlink ref="Y380" r:id="rId405" display="https://www.levernews.com/inside-ices-12-million-plan-to-map-immigrants-patterns-of-life/; https://www.documentcloud.org/documents/28043517-april-2026-project-safe-haven-statement-of-work/?ref=levernews.com; https://jacobin.com/2026/05/edge-ops-ice-surveillance-website" xr:uid="{6C86F314-27FD-4E50-8988-1B3E1BA80A0A}"/>
    <hyperlink ref="Y18" r:id="rId406" xr:uid="{CF86C600-062E-4FB2-A605-7C19683830B0}"/>
    <hyperlink ref="Y363" r:id="rId407" xr:uid="{C04E8B3A-B553-4871-B112-F56575C7411A}"/>
    <hyperlink ref="Y6" r:id="rId408" xr:uid="{30A54969-6F29-4AED-8159-8F57C5849F07}"/>
    <hyperlink ref="Y247" r:id="rId409" xr:uid="{F197359C-1FDB-445C-9CE2-1D9779448478}"/>
    <hyperlink ref="Y236" r:id="rId410" xr:uid="{89128C99-9180-4014-AE0A-442C0BBE5347}"/>
    <hyperlink ref="Y180" r:id="rId411" xr:uid="{64067927-00BE-4BAD-8E8A-B246CA183D3C}"/>
    <hyperlink ref="Y144" r:id="rId412" xr:uid="{1C3BA639-88D8-40D9-9778-2C72CEB01EE0}"/>
    <hyperlink ref="Y344" r:id="rId413" xr:uid="{AF4671F2-72C9-44D8-ABDB-AFD301863143}"/>
    <hyperlink ref="Y115" r:id="rId414" xr:uid="{8EC7C548-BB0A-46EC-9DA5-4E329EAB6EAF}"/>
    <hyperlink ref="Y130" r:id="rId415" xr:uid="{C25E2B55-A64D-468F-8452-101965480DCF}"/>
    <hyperlink ref="Y325" r:id="rId416" xr:uid="{25EB4F31-05D9-49F9-A983-E495EC12D9F2}"/>
    <hyperlink ref="Y167" r:id="rId417" xr:uid="{510DE232-32BD-40BC-8E1D-826D8E3453D9}"/>
    <hyperlink ref="Y348" r:id="rId418" xr:uid="{89803050-7E16-49C1-929F-ADE15C02D1C8}"/>
    <hyperlink ref="Y328" r:id="rId419" xr:uid="{1D812753-AE08-4F89-B96D-A455F0BC1643}"/>
    <hyperlink ref="Y272" r:id="rId420" xr:uid="{7608B211-0C12-414F-B7BB-A139636EE247}"/>
    <hyperlink ref="Y283" r:id="rId421" xr:uid="{89ADB663-ACAD-40CE-A90D-53ED396B3B9B}"/>
    <hyperlink ref="Y194" r:id="rId422" xr:uid="{560EA3FB-C522-4F8F-8DB0-E04029B4407A}"/>
    <hyperlink ref="Y234" r:id="rId423" xr:uid="{48E16569-0D20-46B1-A28B-53450CDF1801}"/>
    <hyperlink ref="Y231" r:id="rId424" xr:uid="{555E1A57-0A53-479D-A583-CFB1A524B4DE}"/>
    <hyperlink ref="Y178" r:id="rId425" xr:uid="{D330A052-9962-44B9-A8D6-4F7600D8F9E4}"/>
    <hyperlink ref="Y177" r:id="rId426" xr:uid="{8A7DFAFF-EE55-4517-AEF9-4C732B6AC147}"/>
    <hyperlink ref="Y226" r:id="rId427" xr:uid="{4D804073-723F-474B-9A96-4164C3D71672}"/>
    <hyperlink ref="Y139" r:id="rId428" xr:uid="{8F8668D7-C729-4A16-A9FC-7A2B1AE66F1B}"/>
    <hyperlink ref="Y350" r:id="rId429" xr:uid="{1991D35F-CBF3-4EDF-9313-B4869DDB53F4}"/>
    <hyperlink ref="Y298" r:id="rId430" location=":~:text=Extreme%20Vetting%20Initiative%20(EVI)%3A" xr:uid="{65DB1AFD-3A99-4BE9-9CE1-19A5D68E2EF7}"/>
    <hyperlink ref="Y168" r:id="rId431" xr:uid="{E0AE33CF-F30F-445D-AC5F-268C6E92F51C}"/>
    <hyperlink ref="Y187" r:id="rId432" xr:uid="{9B24D16B-DCF1-4D89-91DD-FB4011E710A9}"/>
    <hyperlink ref="Y355" r:id="rId433" xr:uid="{3199A513-7A1C-4F3C-97FF-E31AACBFEA0B}"/>
    <hyperlink ref="Y124" r:id="rId434" xr:uid="{5EDBCE61-014F-419C-9057-A2D31795C23A}"/>
    <hyperlink ref="Y358" r:id="rId435" xr:uid="{FBA64C75-8FDB-4FA2-A863-619664F256E6}"/>
    <hyperlink ref="Y257" r:id="rId436" xr:uid="{EB445910-98A2-427B-B269-F8A73C248039}"/>
    <hyperlink ref="Y184" r:id="rId437" xr:uid="{018CD527-D656-4C5E-85E9-5D80BA15EB7B}"/>
    <hyperlink ref="Y183" r:id="rId438" xr:uid="{8BF21048-2265-499D-84E3-0C60DA3B20A6}"/>
    <hyperlink ref="Y331" r:id="rId439" xr:uid="{3361ECC8-61BD-4C00-9A74-57257C224624}"/>
    <hyperlink ref="H309" r:id="rId440" xr:uid="{340805AD-A51E-49DB-99C2-E70AACDCE71E}"/>
    <hyperlink ref="Y309" r:id="rId441" xr:uid="{F838673F-D451-41B4-AD6B-1EFB621C38E6}"/>
    <hyperlink ref="H310" r:id="rId442" xr:uid="{6268723F-99DE-4050-8216-18EE8FAD7D3A}"/>
    <hyperlink ref="H287" r:id="rId443" xr:uid="{CA2C5693-8461-4173-B088-4E0A89F183A5}"/>
    <hyperlink ref="H288" r:id="rId444" xr:uid="{0700ED99-CD42-4615-A37B-8F1058FFC9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DHS Interior 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Amos Toh</dc:creator>
  <cp:keywords/>
  <dc:description/>
  <cp:lastModifiedBy>Matthew Ruppert</cp:lastModifiedBy>
  <cp:revision/>
  <dcterms:created xsi:type="dcterms:W3CDTF">2026-01-29T16:51:13Z</dcterms:created>
  <dcterms:modified xsi:type="dcterms:W3CDTF">2026-07-28T14:28:25Z</dcterms:modified>
  <cp:category/>
  <cp:contentStatus/>
</cp:coreProperties>
</file>